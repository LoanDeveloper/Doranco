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F:\Formation 2025 - 2026 COURS\NEXA\M2 DATA - SARIMAX\"/>
    </mc:Choice>
  </mc:AlternateContent>
  <xr:revisionPtr revIDLastSave="0" documentId="13_ncr:1_{00B35789-E458-450C-858E-B3C1F3028B20}" xr6:coauthVersionLast="47" xr6:coauthVersionMax="47" xr10:uidLastSave="{00000000-0000-0000-0000-000000000000}"/>
  <bookViews>
    <workbookView xWindow="390" yWindow="390" windowWidth="21600" windowHeight="11295" activeTab="8" xr2:uid="{00000000-000D-0000-FFFF-FFFF00000000}"/>
  </bookViews>
  <sheets>
    <sheet name="Sheet1" sheetId="1" r:id="rId1"/>
    <sheet name="Feuil1" sheetId="2" r:id="rId2"/>
    <sheet name="Feuil2" sheetId="3" r:id="rId3"/>
    <sheet name="Feuil3" sheetId="4" r:id="rId4"/>
    <sheet name="Feuil4" sheetId="5" r:id="rId5"/>
    <sheet name="Feuil5" sheetId="6" r:id="rId6"/>
    <sheet name="Feuil6" sheetId="7" r:id="rId7"/>
    <sheet name="Feuil7" sheetId="8" r:id="rId8"/>
    <sheet name="Feuil8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5" l="1"/>
  <c r="C12" i="5"/>
  <c r="C11" i="5"/>
  <c r="C10" i="5"/>
  <c r="C9" i="5"/>
  <c r="C8" i="5"/>
  <c r="C7" i="5"/>
  <c r="D11" i="1" l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G4" i="1"/>
  <c r="G3" i="1"/>
</calcChain>
</file>

<file path=xl/sharedStrings.xml><?xml version="1.0" encoding="utf-8"?>
<sst xmlns="http://schemas.openxmlformats.org/spreadsheetml/2006/main" count="66" uniqueCount="29">
  <si>
    <t>AR(1)</t>
  </si>
  <si>
    <t>Simulation</t>
  </si>
  <si>
    <t>phi</t>
  </si>
  <si>
    <t>mu</t>
  </si>
  <si>
    <t>sigma</t>
  </si>
  <si>
    <t>t</t>
  </si>
  <si>
    <t>epsilon</t>
  </si>
  <si>
    <t>T1</t>
  </si>
  <si>
    <t>T2</t>
  </si>
  <si>
    <t>T3</t>
  </si>
  <si>
    <t>T4</t>
  </si>
  <si>
    <t>Vente</t>
  </si>
  <si>
    <t>Trimestre</t>
  </si>
  <si>
    <t>Année</t>
  </si>
  <si>
    <t>Engrais</t>
  </si>
  <si>
    <t>Rendement</t>
  </si>
  <si>
    <t>Revenu</t>
  </si>
  <si>
    <t>Conso. / Ventes</t>
  </si>
  <si>
    <t>Prévision de la demande</t>
  </si>
  <si>
    <t>année</t>
  </si>
  <si>
    <t>Prix</t>
  </si>
  <si>
    <t>Quantité</t>
  </si>
  <si>
    <t>Prévision</t>
  </si>
  <si>
    <t>CA</t>
  </si>
  <si>
    <t>Prévision saisonnière</t>
  </si>
  <si>
    <t>Ventes</t>
  </si>
  <si>
    <t>Montant</t>
  </si>
  <si>
    <t>Vente hebdomadaire</t>
  </si>
  <si>
    <t>Semaine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</si>
</sst>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_ ;\-0\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0"/>
      <name val="Arial"/>
      <family val="2"/>
    </font>
    <font>
      <b/>
      <sz val="11"/>
      <color theme="5" tint="-0.249977111117893"/>
      <name val="Calibri"/>
      <family val="2"/>
      <scheme val="minor"/>
    </font>
    <font>
      <b/>
      <sz val="10"/>
      <color theme="5" tint="-0.249977111117893"/>
      <name val="Arial"/>
      <family val="2"/>
    </font>
    <font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Sheet1!$D$9</c:f>
              <c:strCache>
                <c:ptCount val="1"/>
                <c:pt idx="0">
                  <c:v>AR(1)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Sheet1!$C$10:$C$59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Sheet1!$D$10:$D$59</c:f>
              <c:numCache>
                <c:formatCode>General</c:formatCode>
                <c:ptCount val="50"/>
                <c:pt idx="0">
                  <c:v>10</c:v>
                </c:pt>
                <c:pt idx="1">
                  <c:v>9.1726099324296229</c:v>
                </c:pt>
                <c:pt idx="2">
                  <c:v>10.563286448596045</c:v>
                </c:pt>
                <c:pt idx="3">
                  <c:v>11.520418209111085</c:v>
                </c:pt>
                <c:pt idx="4">
                  <c:v>10.675346427669865</c:v>
                </c:pt>
                <c:pt idx="5">
                  <c:v>10.974731051428535</c:v>
                </c:pt>
                <c:pt idx="6">
                  <c:v>9.7945215568506683</c:v>
                </c:pt>
                <c:pt idx="7">
                  <c:v>7.3659369345568848</c:v>
                </c:pt>
                <c:pt idx="8">
                  <c:v>6.6860819000658012</c:v>
                </c:pt>
                <c:pt idx="9">
                  <c:v>6.99909881911708</c:v>
                </c:pt>
                <c:pt idx="10">
                  <c:v>8.364425781716136</c:v>
                </c:pt>
                <c:pt idx="11">
                  <c:v>13.17594964549528</c:v>
                </c:pt>
                <c:pt idx="12">
                  <c:v>11.396205591142063</c:v>
                </c:pt>
                <c:pt idx="13">
                  <c:v>15.322992493450585</c:v>
                </c:pt>
                <c:pt idx="14">
                  <c:v>9.2416870286948694</c:v>
                </c:pt>
                <c:pt idx="15">
                  <c:v>10.779057732214206</c:v>
                </c:pt>
                <c:pt idx="16">
                  <c:v>10.05373432726552</c:v>
                </c:pt>
                <c:pt idx="17">
                  <c:v>11.825743091848908</c:v>
                </c:pt>
                <c:pt idx="18">
                  <c:v>10.157131470959747</c:v>
                </c:pt>
                <c:pt idx="19">
                  <c:v>9.5673205737192752</c:v>
                </c:pt>
                <c:pt idx="20">
                  <c:v>10.591423458765755</c:v>
                </c:pt>
                <c:pt idx="21">
                  <c:v>7.5815066908819269</c:v>
                </c:pt>
                <c:pt idx="22">
                  <c:v>8.8035271985273642</c:v>
                </c:pt>
                <c:pt idx="23">
                  <c:v>10.354338791322839</c:v>
                </c:pt>
                <c:pt idx="24">
                  <c:v>11.369385072953971</c:v>
                </c:pt>
                <c:pt idx="25">
                  <c:v>12.155040788518717</c:v>
                </c:pt>
                <c:pt idx="26">
                  <c:v>13.401765936954639</c:v>
                </c:pt>
                <c:pt idx="27">
                  <c:v>8.9402254880833176</c:v>
                </c:pt>
                <c:pt idx="28">
                  <c:v>9.9614649829377289</c:v>
                </c:pt>
                <c:pt idx="29">
                  <c:v>13.942418652815597</c:v>
                </c:pt>
                <c:pt idx="30">
                  <c:v>12.655936055058074</c:v>
                </c:pt>
                <c:pt idx="31">
                  <c:v>8.959575612009699</c:v>
                </c:pt>
                <c:pt idx="32">
                  <c:v>8.2115929413261881</c:v>
                </c:pt>
                <c:pt idx="33">
                  <c:v>9.7444641138788342</c:v>
                </c:pt>
                <c:pt idx="34">
                  <c:v>12.224967521167734</c:v>
                </c:pt>
                <c:pt idx="35">
                  <c:v>10.57622067331425</c:v>
                </c:pt>
                <c:pt idx="36">
                  <c:v>10.807263554849639</c:v>
                </c:pt>
                <c:pt idx="37">
                  <c:v>10.229991048962333</c:v>
                </c:pt>
                <c:pt idx="38">
                  <c:v>11.169259045408801</c:v>
                </c:pt>
                <c:pt idx="39">
                  <c:v>8.6015445375911632</c:v>
                </c:pt>
                <c:pt idx="40">
                  <c:v>11.477766071800316</c:v>
                </c:pt>
                <c:pt idx="41">
                  <c:v>9.565075531371491</c:v>
                </c:pt>
                <c:pt idx="42">
                  <c:v>10.740772288526685</c:v>
                </c:pt>
                <c:pt idx="43">
                  <c:v>9.6051054698770386</c:v>
                </c:pt>
                <c:pt idx="44">
                  <c:v>10.559279611654649</c:v>
                </c:pt>
                <c:pt idx="45">
                  <c:v>10.411541548688698</c:v>
                </c:pt>
                <c:pt idx="46">
                  <c:v>7.7134960854965193</c:v>
                </c:pt>
                <c:pt idx="47">
                  <c:v>9.6434723284656148</c:v>
                </c:pt>
                <c:pt idx="48">
                  <c:v>11.823165657480804</c:v>
                </c:pt>
                <c:pt idx="49">
                  <c:v>9.3941136561998153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18-4623-ADEE-3D22417E5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382975"/>
        <c:axId val="1534384895"/>
      </c:scatterChart>
      <c:valAx>
        <c:axId val="153438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4384895"/>
        <c:crosses val="autoZero"/>
        <c:crossBetween val="midCat"/>
      </c:valAx>
      <c:valAx>
        <c:axId val="153438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4382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200024</xdr:colOff>
      <xdr:row>5</xdr:row>
      <xdr:rowOff>71437</xdr:rowOff>
    </xdr:from>
    <xdr:to>
      <xdr:col>21</xdr:col>
      <xdr:colOff>609599</xdr:colOff>
      <xdr:row>27</xdr:row>
      <xdr:rowOff>161925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9B40A61-5C96-03F2-36C3-0709352D8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G59"/>
  <sheetViews>
    <sheetView workbookViewId="0">
      <selection activeCell="D11" sqref="D11"/>
    </sheetView>
  </sheetViews>
  <sheetFormatPr baseColWidth="10" defaultColWidth="9.140625" defaultRowHeight="15" x14ac:dyDescent="0.25"/>
  <cols>
    <col min="2" max="2" width="12.42578125" customWidth="1"/>
    <col min="4" max="4" width="9.140625" style="1"/>
  </cols>
  <sheetData>
    <row r="3" spans="3:7" x14ac:dyDescent="0.25">
      <c r="C3" t="s">
        <v>1</v>
      </c>
      <c r="G3">
        <f>AVERAGE(G10:G59)</f>
        <v>0.13767144082521554</v>
      </c>
    </row>
    <row r="4" spans="3:7" x14ac:dyDescent="0.25">
      <c r="G4">
        <f>STDEVP(G10:G59)</f>
        <v>1.7439664542974178</v>
      </c>
    </row>
    <row r="5" spans="3:7" x14ac:dyDescent="0.25">
      <c r="C5" t="s">
        <v>2</v>
      </c>
      <c r="D5" s="1">
        <v>0.5</v>
      </c>
    </row>
    <row r="6" spans="3:7" x14ac:dyDescent="0.25">
      <c r="C6" t="s">
        <v>3</v>
      </c>
      <c r="D6" s="1">
        <v>10</v>
      </c>
    </row>
    <row r="7" spans="3:7" x14ac:dyDescent="0.25">
      <c r="C7" t="s">
        <v>4</v>
      </c>
      <c r="D7" s="1">
        <v>2</v>
      </c>
    </row>
    <row r="9" spans="3:7" x14ac:dyDescent="0.25">
      <c r="C9" s="2" t="s">
        <v>5</v>
      </c>
      <c r="D9" s="2" t="s">
        <v>0</v>
      </c>
      <c r="G9" s="3" t="s">
        <v>6</v>
      </c>
    </row>
    <row r="10" spans="3:7" x14ac:dyDescent="0.25">
      <c r="C10" s="1">
        <v>1</v>
      </c>
      <c r="D10" s="1">
        <v>10</v>
      </c>
      <c r="G10">
        <v>-0.23947450245032087</v>
      </c>
    </row>
    <row r="11" spans="3:7" x14ac:dyDescent="0.25">
      <c r="C11" s="1">
        <v>2</v>
      </c>
      <c r="D11" s="1">
        <f>D$6 + D$5*(D10-D$6) + G11</f>
        <v>9.1726099324296229</v>
      </c>
      <c r="G11">
        <v>-0.82739006757037714</v>
      </c>
    </row>
    <row r="12" spans="3:7" x14ac:dyDescent="0.25">
      <c r="C12" s="1">
        <v>3</v>
      </c>
      <c r="D12" s="1">
        <f t="shared" ref="D12:D59" si="0">D$6 + D$5*(D11-D$6) + G12</f>
        <v>10.563286448596045</v>
      </c>
      <c r="G12">
        <v>0.97698148238123395</v>
      </c>
    </row>
    <row r="13" spans="3:7" x14ac:dyDescent="0.25">
      <c r="C13" s="1">
        <v>4</v>
      </c>
      <c r="D13" s="1">
        <f t="shared" si="0"/>
        <v>11.520418209111085</v>
      </c>
      <c r="G13">
        <v>1.2387749848130625</v>
      </c>
    </row>
    <row r="14" spans="3:7" x14ac:dyDescent="0.25">
      <c r="C14" s="1">
        <v>5</v>
      </c>
      <c r="D14" s="1">
        <f t="shared" si="0"/>
        <v>10.675346427669865</v>
      </c>
      <c r="G14">
        <v>-8.4862676885677502E-2</v>
      </c>
    </row>
    <row r="15" spans="3:7" x14ac:dyDescent="0.25">
      <c r="C15" s="1">
        <v>6</v>
      </c>
      <c r="D15" s="1">
        <f t="shared" si="0"/>
        <v>10.974731051428535</v>
      </c>
      <c r="G15">
        <v>0.63705783759360202</v>
      </c>
    </row>
    <row r="16" spans="3:7" x14ac:dyDescent="0.25">
      <c r="C16" s="1">
        <v>7</v>
      </c>
      <c r="D16" s="1">
        <f t="shared" si="0"/>
        <v>9.7945215568506683</v>
      </c>
      <c r="G16">
        <v>-0.692843968863599</v>
      </c>
    </row>
    <row r="17" spans="3:7" x14ac:dyDescent="0.25">
      <c r="C17" s="1">
        <v>8</v>
      </c>
      <c r="D17" s="1">
        <f t="shared" si="0"/>
        <v>7.3659369345568848</v>
      </c>
      <c r="G17">
        <v>-2.5313238438684493</v>
      </c>
    </row>
    <row r="18" spans="3:7" x14ac:dyDescent="0.25">
      <c r="C18" s="1">
        <v>9</v>
      </c>
      <c r="D18" s="1">
        <f t="shared" si="0"/>
        <v>6.6860819000658012</v>
      </c>
      <c r="G18">
        <v>-1.9968865672126412</v>
      </c>
    </row>
    <row r="19" spans="3:7" x14ac:dyDescent="0.25">
      <c r="C19" s="1">
        <v>10</v>
      </c>
      <c r="D19" s="1">
        <f t="shared" si="0"/>
        <v>6.99909881911708</v>
      </c>
      <c r="G19">
        <v>-1.3439421309158206</v>
      </c>
    </row>
    <row r="20" spans="3:7" x14ac:dyDescent="0.25">
      <c r="C20" s="1">
        <v>11</v>
      </c>
      <c r="D20" s="1">
        <f t="shared" si="0"/>
        <v>8.364425781716136</v>
      </c>
      <c r="G20">
        <v>-0.13512362784240395</v>
      </c>
    </row>
    <row r="21" spans="3:7" x14ac:dyDescent="0.25">
      <c r="C21" s="1">
        <v>12</v>
      </c>
      <c r="D21" s="1">
        <f t="shared" si="0"/>
        <v>13.17594964549528</v>
      </c>
      <c r="G21">
        <v>3.9937367546372116</v>
      </c>
    </row>
    <row r="22" spans="3:7" x14ac:dyDescent="0.25">
      <c r="C22" s="1">
        <v>13</v>
      </c>
      <c r="D22" s="1">
        <f t="shared" si="0"/>
        <v>11.396205591142063</v>
      </c>
      <c r="G22">
        <v>-0.19176923160557635</v>
      </c>
    </row>
    <row r="23" spans="3:7" x14ac:dyDescent="0.25">
      <c r="C23" s="1">
        <v>14</v>
      </c>
      <c r="D23" s="1">
        <f t="shared" si="0"/>
        <v>15.322992493450585</v>
      </c>
      <c r="G23">
        <v>4.6248896978795528</v>
      </c>
    </row>
    <row r="24" spans="3:7" x14ac:dyDescent="0.25">
      <c r="C24" s="1">
        <v>15</v>
      </c>
      <c r="D24" s="1">
        <f t="shared" si="0"/>
        <v>9.2416870286948694</v>
      </c>
      <c r="G24">
        <v>-3.4198092180304229</v>
      </c>
    </row>
    <row r="25" spans="3:7" x14ac:dyDescent="0.25">
      <c r="C25" s="1">
        <v>16</v>
      </c>
      <c r="D25" s="1">
        <f t="shared" si="0"/>
        <v>10.779057732214206</v>
      </c>
      <c r="G25">
        <v>1.1582142178667709</v>
      </c>
    </row>
    <row r="26" spans="3:7" x14ac:dyDescent="0.25">
      <c r="C26" s="1">
        <v>17</v>
      </c>
      <c r="D26" s="1">
        <f t="shared" si="0"/>
        <v>10.05373432726552</v>
      </c>
      <c r="G26">
        <v>-0.33579453884158283</v>
      </c>
    </row>
    <row r="27" spans="3:7" x14ac:dyDescent="0.25">
      <c r="C27" s="1">
        <v>18</v>
      </c>
      <c r="D27" s="1">
        <f t="shared" si="0"/>
        <v>11.825743091848908</v>
      </c>
      <c r="G27">
        <v>1.7988759282161482</v>
      </c>
    </row>
    <row r="28" spans="3:7" x14ac:dyDescent="0.25">
      <c r="C28" s="1">
        <v>19</v>
      </c>
      <c r="D28" s="1">
        <f t="shared" si="0"/>
        <v>10.157131470959747</v>
      </c>
      <c r="G28">
        <v>-0.75574007496470585</v>
      </c>
    </row>
    <row r="29" spans="3:7" x14ac:dyDescent="0.25">
      <c r="C29" s="1">
        <v>20</v>
      </c>
      <c r="D29" s="1">
        <f t="shared" si="0"/>
        <v>9.5673205737192752</v>
      </c>
      <c r="G29">
        <v>-0.51124516176059842</v>
      </c>
    </row>
    <row r="30" spans="3:7" x14ac:dyDescent="0.25">
      <c r="C30" s="1">
        <v>21</v>
      </c>
      <c r="D30" s="1">
        <f t="shared" si="0"/>
        <v>10.591423458765755</v>
      </c>
      <c r="G30">
        <v>0.80776317190611735</v>
      </c>
    </row>
    <row r="31" spans="3:7" x14ac:dyDescent="0.25">
      <c r="C31" s="1">
        <v>22</v>
      </c>
      <c r="D31" s="1">
        <f t="shared" si="0"/>
        <v>7.5815066908819269</v>
      </c>
      <c r="G31">
        <v>-2.7142050385009497</v>
      </c>
    </row>
    <row r="32" spans="3:7" x14ac:dyDescent="0.25">
      <c r="C32" s="1">
        <v>23</v>
      </c>
      <c r="D32" s="1">
        <f t="shared" si="0"/>
        <v>8.8035271985273642</v>
      </c>
      <c r="G32">
        <v>1.2773853086400777E-2</v>
      </c>
    </row>
    <row r="33" spans="3:7" x14ac:dyDescent="0.25">
      <c r="C33" s="1">
        <v>24</v>
      </c>
      <c r="D33" s="1">
        <f t="shared" si="0"/>
        <v>10.354338791322839</v>
      </c>
      <c r="G33">
        <v>0.95257519205915742</v>
      </c>
    </row>
    <row r="34" spans="3:7" x14ac:dyDescent="0.25">
      <c r="C34" s="1">
        <v>25</v>
      </c>
      <c r="D34" s="1">
        <f t="shared" si="0"/>
        <v>11.369385072953971</v>
      </c>
      <c r="G34">
        <v>1.1922156772925518</v>
      </c>
    </row>
    <row r="35" spans="3:7" x14ac:dyDescent="0.25">
      <c r="C35" s="1">
        <v>26</v>
      </c>
      <c r="D35" s="1">
        <f t="shared" si="0"/>
        <v>12.155040788518717</v>
      </c>
      <c r="G35">
        <v>1.470348252041731</v>
      </c>
    </row>
    <row r="36" spans="3:7" x14ac:dyDescent="0.25">
      <c r="C36" s="1">
        <v>27</v>
      </c>
      <c r="D36" s="1">
        <f t="shared" si="0"/>
        <v>13.401765936954639</v>
      </c>
      <c r="G36">
        <v>2.3242455426952802</v>
      </c>
    </row>
    <row r="37" spans="3:7" x14ac:dyDescent="0.25">
      <c r="C37" s="1">
        <v>28</v>
      </c>
      <c r="D37" s="1">
        <f t="shared" si="0"/>
        <v>8.9402254880833176</v>
      </c>
      <c r="G37">
        <v>-2.7606574803940021</v>
      </c>
    </row>
    <row r="38" spans="3:7" x14ac:dyDescent="0.25">
      <c r="C38" s="1">
        <v>29</v>
      </c>
      <c r="D38" s="1">
        <f t="shared" si="0"/>
        <v>9.9614649829377289</v>
      </c>
      <c r="G38">
        <v>0.49135223889607005</v>
      </c>
    </row>
    <row r="39" spans="3:7" x14ac:dyDescent="0.25">
      <c r="C39" s="1">
        <v>30</v>
      </c>
      <c r="D39" s="1">
        <f t="shared" si="0"/>
        <v>13.942418652815597</v>
      </c>
      <c r="G39">
        <v>3.9616861613467336</v>
      </c>
    </row>
    <row r="40" spans="3:7" x14ac:dyDescent="0.25">
      <c r="C40" s="1">
        <v>31</v>
      </c>
      <c r="D40" s="1">
        <f t="shared" si="0"/>
        <v>12.655936055058074</v>
      </c>
      <c r="G40">
        <v>0.68472672865027562</v>
      </c>
    </row>
    <row r="41" spans="3:7" x14ac:dyDescent="0.25">
      <c r="C41" s="1">
        <v>32</v>
      </c>
      <c r="D41" s="1">
        <f t="shared" si="0"/>
        <v>8.959575612009699</v>
      </c>
      <c r="G41">
        <v>-2.3683924155193381</v>
      </c>
    </row>
    <row r="42" spans="3:7" x14ac:dyDescent="0.25">
      <c r="C42" s="1">
        <v>33</v>
      </c>
      <c r="D42" s="1">
        <f t="shared" si="0"/>
        <v>8.2115929413261881</v>
      </c>
      <c r="G42">
        <v>-1.2681948646786623</v>
      </c>
    </row>
    <row r="43" spans="3:7" x14ac:dyDescent="0.25">
      <c r="C43" s="1">
        <v>34</v>
      </c>
      <c r="D43" s="1">
        <f t="shared" si="0"/>
        <v>9.7444641138788342</v>
      </c>
      <c r="G43">
        <v>0.6386676432157401</v>
      </c>
    </row>
    <row r="44" spans="3:7" x14ac:dyDescent="0.25">
      <c r="C44" s="1">
        <v>35</v>
      </c>
      <c r="D44" s="1">
        <f t="shared" si="0"/>
        <v>12.224967521167734</v>
      </c>
      <c r="G44">
        <v>2.3527354642283171</v>
      </c>
    </row>
    <row r="45" spans="3:7" x14ac:dyDescent="0.25">
      <c r="C45" s="1">
        <v>36</v>
      </c>
      <c r="D45" s="1">
        <f t="shared" si="0"/>
        <v>10.57622067331425</v>
      </c>
      <c r="G45">
        <v>-0.53626308726961724</v>
      </c>
    </row>
    <row r="46" spans="3:7" x14ac:dyDescent="0.25">
      <c r="C46" s="1">
        <v>37</v>
      </c>
      <c r="D46" s="1">
        <f t="shared" si="0"/>
        <v>10.807263554849639</v>
      </c>
      <c r="G46">
        <v>0.51915321819251403</v>
      </c>
    </row>
    <row r="47" spans="3:7" x14ac:dyDescent="0.25">
      <c r="C47" s="1">
        <v>38</v>
      </c>
      <c r="D47" s="1">
        <f t="shared" si="0"/>
        <v>10.229991048962333</v>
      </c>
      <c r="G47">
        <v>-0.17364072846248746</v>
      </c>
    </row>
    <row r="48" spans="3:7" x14ac:dyDescent="0.25">
      <c r="C48" s="1">
        <v>39</v>
      </c>
      <c r="D48" s="1">
        <f t="shared" si="0"/>
        <v>11.169259045408801</v>
      </c>
      <c r="G48">
        <v>1.0542635209276341</v>
      </c>
    </row>
    <row r="49" spans="3:7" x14ac:dyDescent="0.25">
      <c r="C49" s="1">
        <v>40</v>
      </c>
      <c r="D49" s="1">
        <f t="shared" si="0"/>
        <v>8.6015445375911632</v>
      </c>
      <c r="G49">
        <v>-1.9830849851132371</v>
      </c>
    </row>
    <row r="50" spans="3:7" x14ac:dyDescent="0.25">
      <c r="C50" s="1">
        <v>41</v>
      </c>
      <c r="D50" s="1">
        <f t="shared" si="0"/>
        <v>11.477766071800316</v>
      </c>
      <c r="G50">
        <v>2.1769938030047342</v>
      </c>
    </row>
    <row r="51" spans="3:7" x14ac:dyDescent="0.25">
      <c r="C51" s="1">
        <v>42</v>
      </c>
      <c r="D51" s="1">
        <f t="shared" si="0"/>
        <v>9.565075531371491</v>
      </c>
      <c r="G51">
        <v>-1.1738075045286678</v>
      </c>
    </row>
    <row r="52" spans="3:7" x14ac:dyDescent="0.25">
      <c r="C52" s="1">
        <v>43</v>
      </c>
      <c r="D52" s="1">
        <f t="shared" si="0"/>
        <v>10.740772288526685</v>
      </c>
      <c r="G52">
        <v>0.95823452284093946</v>
      </c>
    </row>
    <row r="53" spans="3:7" x14ac:dyDescent="0.25">
      <c r="C53" s="1">
        <v>44</v>
      </c>
      <c r="D53" s="1">
        <f t="shared" si="0"/>
        <v>9.6051054698770386</v>
      </c>
      <c r="G53">
        <v>-0.76528067438630387</v>
      </c>
    </row>
    <row r="54" spans="3:7" x14ac:dyDescent="0.25">
      <c r="C54" s="1">
        <v>45</v>
      </c>
      <c r="D54" s="1">
        <f t="shared" si="0"/>
        <v>10.559279611654649</v>
      </c>
      <c r="G54">
        <v>0.75672687671612948</v>
      </c>
    </row>
    <row r="55" spans="3:7" x14ac:dyDescent="0.25">
      <c r="C55" s="1">
        <v>46</v>
      </c>
      <c r="D55" s="1">
        <f t="shared" si="0"/>
        <v>10.411541548688698</v>
      </c>
      <c r="G55">
        <v>0.13190174286137335</v>
      </c>
    </row>
    <row r="56" spans="3:7" x14ac:dyDescent="0.25">
      <c r="C56" s="1">
        <v>47</v>
      </c>
      <c r="D56" s="1">
        <f t="shared" si="0"/>
        <v>7.7134960854965193</v>
      </c>
      <c r="G56">
        <v>-2.4922746888478287</v>
      </c>
    </row>
    <row r="57" spans="3:7" x14ac:dyDescent="0.25">
      <c r="C57" s="1">
        <v>48</v>
      </c>
      <c r="D57" s="1">
        <f t="shared" si="0"/>
        <v>9.6434723284656148</v>
      </c>
      <c r="G57">
        <v>0.78672428571735509</v>
      </c>
    </row>
    <row r="58" spans="3:7" x14ac:dyDescent="0.25">
      <c r="C58" s="1">
        <v>49</v>
      </c>
      <c r="D58" s="1">
        <f t="shared" si="0"/>
        <v>11.823165657480804</v>
      </c>
      <c r="G58">
        <v>2.001429493247997</v>
      </c>
    </row>
    <row r="59" spans="3:7" x14ac:dyDescent="0.25">
      <c r="C59" s="1">
        <v>50</v>
      </c>
      <c r="D59" s="1">
        <f t="shared" si="0"/>
        <v>9.3941136561998153</v>
      </c>
      <c r="G59">
        <v>-1.5174691725405864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4A994-916E-4F6C-908F-98F89EDB0BEE}">
  <dimension ref="C5:E17"/>
  <sheetViews>
    <sheetView workbookViewId="0">
      <selection activeCell="E20" sqref="E20"/>
    </sheetView>
  </sheetViews>
  <sheetFormatPr baseColWidth="10" defaultRowHeight="15" x14ac:dyDescent="0.25"/>
  <cols>
    <col min="1" max="1" width="4.140625" style="1" customWidth="1"/>
    <col min="2" max="16384" width="11.42578125" style="1"/>
  </cols>
  <sheetData>
    <row r="5" spans="3:5" s="4" customFormat="1" x14ac:dyDescent="0.25">
      <c r="C5" s="4" t="s">
        <v>13</v>
      </c>
      <c r="D5" s="4" t="s">
        <v>12</v>
      </c>
      <c r="E5" s="4" t="s">
        <v>11</v>
      </c>
    </row>
    <row r="6" spans="3:5" x14ac:dyDescent="0.25">
      <c r="C6" s="1">
        <v>2023</v>
      </c>
      <c r="D6" s="1" t="s">
        <v>7</v>
      </c>
      <c r="E6" s="1">
        <v>1248</v>
      </c>
    </row>
    <row r="7" spans="3:5" x14ac:dyDescent="0.25">
      <c r="D7" s="1" t="s">
        <v>8</v>
      </c>
      <c r="E7" s="1">
        <v>1392</v>
      </c>
    </row>
    <row r="8" spans="3:5" x14ac:dyDescent="0.25">
      <c r="D8" s="1" t="s">
        <v>9</v>
      </c>
      <c r="E8" s="1">
        <v>1057</v>
      </c>
    </row>
    <row r="9" spans="3:5" x14ac:dyDescent="0.25">
      <c r="D9" s="1" t="s">
        <v>10</v>
      </c>
      <c r="E9" s="1">
        <v>3159</v>
      </c>
    </row>
    <row r="10" spans="3:5" x14ac:dyDescent="0.25">
      <c r="C10" s="1">
        <v>2024</v>
      </c>
      <c r="D10" s="1" t="s">
        <v>7</v>
      </c>
      <c r="E10" s="1">
        <v>891</v>
      </c>
    </row>
    <row r="11" spans="3:5" x14ac:dyDescent="0.25">
      <c r="D11" s="1" t="s">
        <v>8</v>
      </c>
      <c r="E11" s="1">
        <v>1065</v>
      </c>
    </row>
    <row r="12" spans="3:5" x14ac:dyDescent="0.25">
      <c r="D12" s="1" t="s">
        <v>9</v>
      </c>
      <c r="E12" s="1">
        <v>1118</v>
      </c>
    </row>
    <row r="13" spans="3:5" x14ac:dyDescent="0.25">
      <c r="D13" s="1" t="s">
        <v>10</v>
      </c>
      <c r="E13" s="1">
        <v>2934</v>
      </c>
    </row>
    <row r="14" spans="3:5" x14ac:dyDescent="0.25">
      <c r="C14" s="1">
        <v>2025</v>
      </c>
      <c r="D14" s="1" t="s">
        <v>7</v>
      </c>
      <c r="E14" s="1">
        <v>1138</v>
      </c>
    </row>
    <row r="15" spans="3:5" x14ac:dyDescent="0.25">
      <c r="D15" s="1" t="s">
        <v>8</v>
      </c>
      <c r="E15" s="1">
        <v>1456</v>
      </c>
    </row>
    <row r="16" spans="3:5" x14ac:dyDescent="0.25">
      <c r="D16" s="1" t="s">
        <v>9</v>
      </c>
      <c r="E16" s="1">
        <v>1224</v>
      </c>
    </row>
    <row r="17" spans="4:5" x14ac:dyDescent="0.25">
      <c r="D17" s="1" t="s">
        <v>10</v>
      </c>
      <c r="E17" s="1">
        <v>3090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C4EF-6B27-4548-907D-BFF422E7FB65}">
  <dimension ref="B4:C14"/>
  <sheetViews>
    <sheetView workbookViewId="0">
      <selection activeCell="B4" sqref="B4:C14"/>
    </sheetView>
  </sheetViews>
  <sheetFormatPr baseColWidth="10" defaultRowHeight="15" x14ac:dyDescent="0.25"/>
  <sheetData>
    <row r="4" spans="2:3" x14ac:dyDescent="0.25">
      <c r="B4" s="5" t="s">
        <v>14</v>
      </c>
      <c r="C4" s="5" t="s">
        <v>15</v>
      </c>
    </row>
    <row r="5" spans="2:3" x14ac:dyDescent="0.25">
      <c r="B5" s="6">
        <v>20</v>
      </c>
      <c r="C5" s="6">
        <v>16</v>
      </c>
    </row>
    <row r="6" spans="2:3" x14ac:dyDescent="0.25">
      <c r="B6" s="6">
        <v>24</v>
      </c>
      <c r="C6" s="6">
        <v>18</v>
      </c>
    </row>
    <row r="7" spans="2:3" x14ac:dyDescent="0.25">
      <c r="B7" s="6">
        <v>28</v>
      </c>
      <c r="C7" s="6">
        <v>23</v>
      </c>
    </row>
    <row r="8" spans="2:3" x14ac:dyDescent="0.25">
      <c r="B8" s="6">
        <v>22</v>
      </c>
      <c r="C8" s="6">
        <v>24</v>
      </c>
    </row>
    <row r="9" spans="2:3" x14ac:dyDescent="0.25">
      <c r="B9" s="6">
        <v>32</v>
      </c>
      <c r="C9" s="6">
        <v>26</v>
      </c>
    </row>
    <row r="10" spans="2:3" x14ac:dyDescent="0.25">
      <c r="B10" s="6">
        <v>32</v>
      </c>
      <c r="C10" s="6">
        <v>28</v>
      </c>
    </row>
    <row r="11" spans="2:3" x14ac:dyDescent="0.25">
      <c r="B11" s="6">
        <v>28</v>
      </c>
      <c r="C11" s="6">
        <v>29</v>
      </c>
    </row>
    <row r="12" spans="2:3" x14ac:dyDescent="0.25">
      <c r="B12" s="6">
        <v>36</v>
      </c>
      <c r="C12" s="6">
        <v>31</v>
      </c>
    </row>
    <row r="13" spans="2:3" x14ac:dyDescent="0.25">
      <c r="B13" s="6">
        <v>41</v>
      </c>
      <c r="C13" s="6">
        <v>32</v>
      </c>
    </row>
    <row r="14" spans="2:3" x14ac:dyDescent="0.25">
      <c r="B14" s="6">
        <v>41</v>
      </c>
      <c r="C14" s="6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575A-2687-4F45-9727-8989C8341D86}">
  <dimension ref="B4:C16"/>
  <sheetViews>
    <sheetView workbookViewId="0">
      <selection activeCell="E4" sqref="E4"/>
    </sheetView>
  </sheetViews>
  <sheetFormatPr baseColWidth="10" defaultRowHeight="15" x14ac:dyDescent="0.25"/>
  <sheetData>
    <row r="4" spans="2:3" ht="30" x14ac:dyDescent="0.25">
      <c r="B4" s="5" t="s">
        <v>16</v>
      </c>
      <c r="C4" s="5" t="s">
        <v>17</v>
      </c>
    </row>
    <row r="5" spans="2:3" x14ac:dyDescent="0.25">
      <c r="B5" s="7">
        <v>1000</v>
      </c>
      <c r="C5" s="7">
        <v>50</v>
      </c>
    </row>
    <row r="6" spans="2:3" x14ac:dyDescent="0.25">
      <c r="B6" s="7">
        <v>2000</v>
      </c>
      <c r="C6" s="7">
        <v>56</v>
      </c>
    </row>
    <row r="7" spans="2:3" x14ac:dyDescent="0.25">
      <c r="B7" s="7">
        <v>5000</v>
      </c>
      <c r="C7" s="7">
        <v>68</v>
      </c>
    </row>
    <row r="8" spans="2:3" x14ac:dyDescent="0.25">
      <c r="B8" s="7">
        <v>6000</v>
      </c>
      <c r="C8" s="7">
        <v>71</v>
      </c>
    </row>
    <row r="9" spans="2:3" x14ac:dyDescent="0.25">
      <c r="B9" s="7">
        <v>6000</v>
      </c>
      <c r="C9" s="7">
        <v>60</v>
      </c>
    </row>
    <row r="10" spans="2:3" x14ac:dyDescent="0.25">
      <c r="B10" s="7">
        <v>9000</v>
      </c>
      <c r="C10" s="7">
        <v>100</v>
      </c>
    </row>
    <row r="11" spans="2:3" x14ac:dyDescent="0.25">
      <c r="B11" s="7">
        <v>13000</v>
      </c>
      <c r="C11" s="7">
        <v>96</v>
      </c>
    </row>
    <row r="12" spans="2:3" x14ac:dyDescent="0.25">
      <c r="B12" s="7">
        <v>14000</v>
      </c>
      <c r="C12" s="7">
        <v>95</v>
      </c>
    </row>
    <row r="13" spans="2:3" x14ac:dyDescent="0.25">
      <c r="B13" s="7">
        <v>15000</v>
      </c>
      <c r="C13" s="7">
        <v>98</v>
      </c>
    </row>
    <row r="14" spans="2:3" x14ac:dyDescent="0.25">
      <c r="B14" s="7">
        <v>15000</v>
      </c>
      <c r="C14" s="7">
        <v>94</v>
      </c>
    </row>
    <row r="15" spans="2:3" x14ac:dyDescent="0.25">
      <c r="B15" s="7">
        <v>16000</v>
      </c>
      <c r="C15" s="7">
        <v>95</v>
      </c>
    </row>
    <row r="16" spans="2:3" x14ac:dyDescent="0.25">
      <c r="B16" s="7">
        <v>18000</v>
      </c>
      <c r="C16" s="7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5E737-F78F-402A-92C9-5F7883CF2150}">
  <dimension ref="B4:D13"/>
  <sheetViews>
    <sheetView workbookViewId="0">
      <selection activeCell="F5" sqref="F5"/>
    </sheetView>
  </sheetViews>
  <sheetFormatPr baseColWidth="10" defaultRowHeight="15" x14ac:dyDescent="0.25"/>
  <sheetData>
    <row r="4" spans="2:4" x14ac:dyDescent="0.25">
      <c r="B4" s="2" t="s">
        <v>18</v>
      </c>
    </row>
    <row r="5" spans="2:4" x14ac:dyDescent="0.25">
      <c r="B5" s="1"/>
      <c r="C5" s="1"/>
      <c r="D5" s="1"/>
    </row>
    <row r="6" spans="2:4" x14ac:dyDescent="0.25">
      <c r="B6" s="8" t="s">
        <v>19</v>
      </c>
      <c r="C6" s="9" t="s">
        <v>20</v>
      </c>
      <c r="D6" s="10" t="s">
        <v>21</v>
      </c>
    </row>
    <row r="7" spans="2:4" x14ac:dyDescent="0.25">
      <c r="B7" s="1">
        <v>1994</v>
      </c>
      <c r="C7" s="11">
        <f>B7-1993</f>
        <v>1</v>
      </c>
      <c r="D7" s="11">
        <v>50</v>
      </c>
    </row>
    <row r="8" spans="2:4" x14ac:dyDescent="0.25">
      <c r="B8" s="1">
        <v>1999</v>
      </c>
      <c r="C8" s="11">
        <f t="shared" ref="C8:C13" si="0">B8-1993</f>
        <v>6</v>
      </c>
      <c r="D8" s="11">
        <v>42</v>
      </c>
    </row>
    <row r="9" spans="2:4" x14ac:dyDescent="0.25">
      <c r="B9" s="1">
        <v>2004</v>
      </c>
      <c r="C9" s="11">
        <f t="shared" si="0"/>
        <v>11</v>
      </c>
      <c r="D9" s="11">
        <v>36</v>
      </c>
    </row>
    <row r="10" spans="2:4" x14ac:dyDescent="0.25">
      <c r="B10" s="1">
        <v>2009</v>
      </c>
      <c r="C10" s="11">
        <f t="shared" si="0"/>
        <v>16</v>
      </c>
      <c r="D10" s="11">
        <v>30</v>
      </c>
    </row>
    <row r="11" spans="2:4" x14ac:dyDescent="0.25">
      <c r="B11" s="1">
        <v>2014</v>
      </c>
      <c r="C11" s="11">
        <f t="shared" si="0"/>
        <v>21</v>
      </c>
      <c r="D11" s="11">
        <v>25</v>
      </c>
    </row>
    <row r="12" spans="2:4" x14ac:dyDescent="0.25">
      <c r="B12" s="1">
        <v>2019</v>
      </c>
      <c r="C12" s="11">
        <f t="shared" si="0"/>
        <v>26</v>
      </c>
      <c r="D12" s="11">
        <v>21</v>
      </c>
    </row>
    <row r="13" spans="2:4" x14ac:dyDescent="0.25">
      <c r="B13" s="1">
        <v>2024</v>
      </c>
      <c r="C13" s="11">
        <f t="shared" si="0"/>
        <v>31</v>
      </c>
      <c r="D13" s="11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8FBA-323C-45EC-8D93-42AAC60D32B6}">
  <dimension ref="B4:C13"/>
  <sheetViews>
    <sheetView workbookViewId="0">
      <selection activeCell="F6" sqref="F6"/>
    </sheetView>
  </sheetViews>
  <sheetFormatPr baseColWidth="10" defaultRowHeight="15" x14ac:dyDescent="0.25"/>
  <sheetData>
    <row r="4" spans="2:3" x14ac:dyDescent="0.25">
      <c r="B4" s="2" t="s">
        <v>22</v>
      </c>
    </row>
    <row r="5" spans="2:3" x14ac:dyDescent="0.25">
      <c r="B5" s="1"/>
    </row>
    <row r="6" spans="2:3" x14ac:dyDescent="0.25">
      <c r="B6" s="8" t="s">
        <v>19</v>
      </c>
      <c r="C6" s="8" t="s">
        <v>23</v>
      </c>
    </row>
    <row r="7" spans="2:3" x14ac:dyDescent="0.25">
      <c r="B7" s="1">
        <v>1994</v>
      </c>
      <c r="C7" s="1">
        <v>18</v>
      </c>
    </row>
    <row r="8" spans="2:3" x14ac:dyDescent="0.25">
      <c r="B8" s="1">
        <v>1999</v>
      </c>
      <c r="C8" s="1">
        <v>21</v>
      </c>
    </row>
    <row r="9" spans="2:3" x14ac:dyDescent="0.25">
      <c r="B9" s="1">
        <v>2004</v>
      </c>
      <c r="C9" s="1">
        <v>25</v>
      </c>
    </row>
    <row r="10" spans="2:3" x14ac:dyDescent="0.25">
      <c r="B10" s="1">
        <v>2009</v>
      </c>
      <c r="C10" s="1">
        <v>30</v>
      </c>
    </row>
    <row r="11" spans="2:3" x14ac:dyDescent="0.25">
      <c r="B11" s="1">
        <v>2014</v>
      </c>
      <c r="C11" s="1">
        <v>36</v>
      </c>
    </row>
    <row r="12" spans="2:3" x14ac:dyDescent="0.25">
      <c r="B12" s="1">
        <v>2019</v>
      </c>
      <c r="C12" s="1">
        <v>42</v>
      </c>
    </row>
    <row r="13" spans="2:3" x14ac:dyDescent="0.25">
      <c r="B13" s="1">
        <v>2024</v>
      </c>
      <c r="C13" s="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F2050-8E05-48A8-B8CE-29BFED90ED96}">
  <dimension ref="B4:D18"/>
  <sheetViews>
    <sheetView workbookViewId="0">
      <selection activeCell="E17" sqref="E17"/>
    </sheetView>
  </sheetViews>
  <sheetFormatPr baseColWidth="10" defaultRowHeight="15" x14ac:dyDescent="0.25"/>
  <sheetData>
    <row r="4" spans="2:4" x14ac:dyDescent="0.25">
      <c r="B4" s="3" t="s">
        <v>24</v>
      </c>
    </row>
    <row r="6" spans="2:4" x14ac:dyDescent="0.25">
      <c r="B6" s="12" t="s">
        <v>13</v>
      </c>
      <c r="C6" s="12" t="s">
        <v>12</v>
      </c>
      <c r="D6" s="13" t="s">
        <v>25</v>
      </c>
    </row>
    <row r="7" spans="2:4" x14ac:dyDescent="0.25">
      <c r="B7" s="14">
        <v>2022</v>
      </c>
      <c r="C7" s="15" t="s">
        <v>7</v>
      </c>
      <c r="D7" s="16">
        <v>1248</v>
      </c>
    </row>
    <row r="8" spans="2:4" x14ac:dyDescent="0.25">
      <c r="B8" s="2"/>
      <c r="C8" s="15" t="s">
        <v>8</v>
      </c>
      <c r="D8" s="16">
        <v>1392</v>
      </c>
    </row>
    <row r="9" spans="2:4" x14ac:dyDescent="0.25">
      <c r="B9" s="2"/>
      <c r="C9" s="15" t="s">
        <v>9</v>
      </c>
      <c r="D9" s="16">
        <v>1056</v>
      </c>
    </row>
    <row r="10" spans="2:4" x14ac:dyDescent="0.25">
      <c r="B10" s="2"/>
      <c r="C10" s="15" t="s">
        <v>10</v>
      </c>
      <c r="D10" s="16">
        <v>3159</v>
      </c>
    </row>
    <row r="11" spans="2:4" x14ac:dyDescent="0.25">
      <c r="B11" s="2">
        <v>2023</v>
      </c>
      <c r="C11" s="15" t="s">
        <v>7</v>
      </c>
      <c r="D11" s="16">
        <v>890</v>
      </c>
    </row>
    <row r="12" spans="2:4" x14ac:dyDescent="0.25">
      <c r="B12" s="2"/>
      <c r="C12" s="15" t="s">
        <v>8</v>
      </c>
      <c r="D12" s="16">
        <v>1065</v>
      </c>
    </row>
    <row r="13" spans="2:4" x14ac:dyDescent="0.25">
      <c r="B13" s="2"/>
      <c r="C13" s="15" t="s">
        <v>9</v>
      </c>
      <c r="D13" s="16">
        <v>1117</v>
      </c>
    </row>
    <row r="14" spans="2:4" x14ac:dyDescent="0.25">
      <c r="B14" s="2"/>
      <c r="C14" s="15" t="s">
        <v>10</v>
      </c>
      <c r="D14" s="16">
        <v>2934</v>
      </c>
    </row>
    <row r="15" spans="2:4" x14ac:dyDescent="0.25">
      <c r="B15" s="2">
        <v>2024</v>
      </c>
      <c r="C15" s="15" t="s">
        <v>7</v>
      </c>
      <c r="D15" s="16">
        <v>1138</v>
      </c>
    </row>
    <row r="16" spans="2:4" x14ac:dyDescent="0.25">
      <c r="B16" s="2"/>
      <c r="C16" s="15" t="s">
        <v>8</v>
      </c>
      <c r="D16" s="16">
        <v>1456</v>
      </c>
    </row>
    <row r="17" spans="2:4" x14ac:dyDescent="0.25">
      <c r="B17" s="2"/>
      <c r="C17" s="15" t="s">
        <v>9</v>
      </c>
      <c r="D17" s="16">
        <v>1224</v>
      </c>
    </row>
    <row r="18" spans="2:4" x14ac:dyDescent="0.25">
      <c r="B18" s="2"/>
      <c r="C18" s="15" t="s">
        <v>10</v>
      </c>
      <c r="D18" s="16">
        <v>3090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0B73-8066-4C19-91C8-E9C912122655}">
  <dimension ref="B3:D17"/>
  <sheetViews>
    <sheetView workbookViewId="0">
      <selection activeCell="B3" sqref="B3:D17"/>
    </sheetView>
  </sheetViews>
  <sheetFormatPr baseColWidth="10" defaultRowHeight="15" x14ac:dyDescent="0.25"/>
  <sheetData>
    <row r="3" spans="2:4" x14ac:dyDescent="0.25">
      <c r="B3" s="17" t="s">
        <v>22</v>
      </c>
      <c r="C3" s="1"/>
    </row>
    <row r="4" spans="2:4" x14ac:dyDescent="0.25">
      <c r="B4" s="1"/>
      <c r="C4" s="1"/>
    </row>
    <row r="5" spans="2:4" x14ac:dyDescent="0.25">
      <c r="B5" s="2"/>
      <c r="C5" s="2"/>
      <c r="D5" s="2" t="s">
        <v>26</v>
      </c>
    </row>
    <row r="6" spans="2:4" x14ac:dyDescent="0.25">
      <c r="B6" s="1">
        <v>2022</v>
      </c>
      <c r="C6" s="1" t="s">
        <v>7</v>
      </c>
      <c r="D6" s="1">
        <v>40</v>
      </c>
    </row>
    <row r="7" spans="2:4" x14ac:dyDescent="0.25">
      <c r="B7" s="1"/>
      <c r="C7" s="1" t="s">
        <v>8</v>
      </c>
      <c r="D7" s="1">
        <v>42</v>
      </c>
    </row>
    <row r="8" spans="2:4" x14ac:dyDescent="0.25">
      <c r="B8" s="1"/>
      <c r="C8" s="1" t="s">
        <v>9</v>
      </c>
      <c r="D8" s="1">
        <v>44</v>
      </c>
    </row>
    <row r="9" spans="2:4" x14ac:dyDescent="0.25">
      <c r="B9" s="1"/>
      <c r="C9" s="1" t="s">
        <v>10</v>
      </c>
      <c r="D9" s="1">
        <v>45</v>
      </c>
    </row>
    <row r="10" spans="2:4" x14ac:dyDescent="0.25">
      <c r="B10" s="1">
        <v>2023</v>
      </c>
      <c r="C10" s="1" t="s">
        <v>7</v>
      </c>
      <c r="D10" s="1">
        <v>48</v>
      </c>
    </row>
    <row r="11" spans="2:4" x14ac:dyDescent="0.25">
      <c r="B11" s="1"/>
      <c r="C11" s="1" t="s">
        <v>8</v>
      </c>
      <c r="D11" s="1">
        <v>50</v>
      </c>
    </row>
    <row r="12" spans="2:4" x14ac:dyDescent="0.25">
      <c r="B12" s="1"/>
      <c r="C12" s="1" t="s">
        <v>9</v>
      </c>
      <c r="D12" s="1">
        <v>52</v>
      </c>
    </row>
    <row r="13" spans="2:4" x14ac:dyDescent="0.25">
      <c r="B13" s="1"/>
      <c r="C13" s="1" t="s">
        <v>10</v>
      </c>
      <c r="D13" s="1">
        <v>55</v>
      </c>
    </row>
    <row r="14" spans="2:4" x14ac:dyDescent="0.25">
      <c r="B14" s="1">
        <v>2024</v>
      </c>
      <c r="C14" s="1" t="s">
        <v>7</v>
      </c>
      <c r="D14" s="1">
        <v>58</v>
      </c>
    </row>
    <row r="15" spans="2:4" x14ac:dyDescent="0.25">
      <c r="B15" s="1"/>
      <c r="C15" s="1" t="s">
        <v>8</v>
      </c>
      <c r="D15" s="1">
        <v>63</v>
      </c>
    </row>
    <row r="16" spans="2:4" x14ac:dyDescent="0.25">
      <c r="B16" s="1"/>
      <c r="C16" s="1" t="s">
        <v>9</v>
      </c>
      <c r="D16" s="1">
        <v>68</v>
      </c>
    </row>
    <row r="17" spans="2:4" x14ac:dyDescent="0.25">
      <c r="B17" s="1"/>
      <c r="C17" s="1" t="s">
        <v>10</v>
      </c>
      <c r="D17" s="1">
        <v>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BB8F-D83D-4299-B93E-B631A7D77F2D}">
  <dimension ref="B3:C26"/>
  <sheetViews>
    <sheetView tabSelected="1" workbookViewId="0">
      <selection activeCell="F6" sqref="F6"/>
    </sheetView>
  </sheetViews>
  <sheetFormatPr baseColWidth="10" defaultRowHeight="15" x14ac:dyDescent="0.25"/>
  <sheetData>
    <row r="3" spans="2:3" x14ac:dyDescent="0.25">
      <c r="B3" s="3" t="s">
        <v>27</v>
      </c>
    </row>
    <row r="7" spans="2:3" x14ac:dyDescent="0.25">
      <c r="B7" s="8" t="s">
        <v>28</v>
      </c>
      <c r="C7" s="8" t="s">
        <v>11</v>
      </c>
    </row>
    <row r="8" spans="2:3" x14ac:dyDescent="0.25">
      <c r="B8" s="1">
        <v>1</v>
      </c>
      <c r="C8" s="1">
        <v>44</v>
      </c>
    </row>
    <row r="9" spans="2:3" x14ac:dyDescent="0.25">
      <c r="B9" s="1">
        <v>2</v>
      </c>
      <c r="C9" s="1">
        <v>61</v>
      </c>
    </row>
    <row r="10" spans="2:3" x14ac:dyDescent="0.25">
      <c r="B10" s="1">
        <v>3</v>
      </c>
      <c r="C10" s="1">
        <v>81</v>
      </c>
    </row>
    <row r="11" spans="2:3" x14ac:dyDescent="0.25">
      <c r="B11" s="1">
        <v>4</v>
      </c>
      <c r="C11" s="1">
        <v>105</v>
      </c>
    </row>
    <row r="12" spans="2:3" x14ac:dyDescent="0.25">
      <c r="B12" s="1">
        <v>5</v>
      </c>
      <c r="C12" s="1">
        <v>134</v>
      </c>
    </row>
    <row r="13" spans="2:3" x14ac:dyDescent="0.25">
      <c r="B13" s="1">
        <v>6</v>
      </c>
      <c r="C13" s="1">
        <v>165</v>
      </c>
    </row>
    <row r="14" spans="2:3" x14ac:dyDescent="0.25">
      <c r="B14" s="1">
        <v>7</v>
      </c>
      <c r="C14" s="1">
        <v>200</v>
      </c>
    </row>
    <row r="15" spans="2:3" x14ac:dyDescent="0.25">
      <c r="B15" s="1">
        <v>8</v>
      </c>
      <c r="C15" s="1">
        <v>236</v>
      </c>
    </row>
    <row r="16" spans="2:3" x14ac:dyDescent="0.25">
      <c r="B16" s="1">
        <v>9</v>
      </c>
      <c r="C16" s="1">
        <v>275</v>
      </c>
    </row>
    <row r="17" spans="2:3" x14ac:dyDescent="0.25">
      <c r="B17" s="1">
        <v>10</v>
      </c>
      <c r="C17" s="1">
        <v>315</v>
      </c>
    </row>
    <row r="18" spans="2:3" x14ac:dyDescent="0.25">
      <c r="B18" s="1">
        <v>11</v>
      </c>
      <c r="C18" s="1">
        <v>355</v>
      </c>
    </row>
    <row r="19" spans="2:3" x14ac:dyDescent="0.25">
      <c r="B19" s="1">
        <v>12</v>
      </c>
      <c r="C19" s="1">
        <v>395</v>
      </c>
    </row>
    <row r="20" spans="2:3" x14ac:dyDescent="0.25">
      <c r="B20" s="1">
        <v>13</v>
      </c>
      <c r="C20" s="1">
        <v>434</v>
      </c>
    </row>
    <row r="21" spans="2:3" x14ac:dyDescent="0.25">
      <c r="B21" s="1">
        <v>14</v>
      </c>
      <c r="C21" s="1">
        <v>473</v>
      </c>
    </row>
    <row r="22" spans="2:3" x14ac:dyDescent="0.25">
      <c r="B22" s="1">
        <v>15</v>
      </c>
      <c r="C22" s="1">
        <v>510</v>
      </c>
    </row>
    <row r="23" spans="2:3" x14ac:dyDescent="0.25">
      <c r="B23" s="1">
        <v>16</v>
      </c>
      <c r="C23" s="1">
        <v>544</v>
      </c>
    </row>
    <row r="24" spans="2:3" x14ac:dyDescent="0.25">
      <c r="B24" s="1">
        <v>17</v>
      </c>
      <c r="C24" s="1">
        <v>577</v>
      </c>
    </row>
    <row r="25" spans="2:3" x14ac:dyDescent="0.25">
      <c r="B25" s="1">
        <v>18</v>
      </c>
      <c r="C25" s="1">
        <v>607</v>
      </c>
    </row>
    <row r="26" spans="2:3" x14ac:dyDescent="0.25">
      <c r="B26" s="1">
        <v>19</v>
      </c>
      <c r="C26" s="1">
        <v>633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3192A07DD7784F8B5B6F2AF250FBC8" ma:contentTypeVersion="0" ma:contentTypeDescription="Crée un document." ma:contentTypeScope="" ma:versionID="6ef77739f40c2b7d0939bd0920675ba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9028b6788f95684bad4f0cdee3402c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40DCBE-A828-4A45-A803-B773C4880A94}"/>
</file>

<file path=customXml/itemProps2.xml><?xml version="1.0" encoding="utf-8"?>
<ds:datastoreItem xmlns:ds="http://schemas.openxmlformats.org/officeDocument/2006/customXml" ds:itemID="{BC135FEB-6566-45FE-960B-9E5D9B820B00}"/>
</file>

<file path=customXml/itemProps3.xml><?xml version="1.0" encoding="utf-8"?>
<ds:datastoreItem xmlns:ds="http://schemas.openxmlformats.org/officeDocument/2006/customXml" ds:itemID="{19E198B0-73F1-4CAC-BCC3-3B2FB807F2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Sheet1</vt:lpstr>
      <vt:lpstr>Feuil1</vt:lpstr>
      <vt:lpstr>Feuil2</vt:lpstr>
      <vt:lpstr>Feuil3</vt:lpstr>
      <vt:lpstr>Feuil4</vt:lpstr>
      <vt:lpstr>Feuil5</vt:lpstr>
      <vt:lpstr>Feuil6</vt:lpstr>
      <vt:lpstr>Feuil7</vt:lpstr>
      <vt:lpstr>Feuil8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bernard</dc:creator>
  <cp:lastModifiedBy>pascal bernard</cp:lastModifiedBy>
  <dcterms:created xsi:type="dcterms:W3CDTF">2015-06-05T18:17:20Z</dcterms:created>
  <dcterms:modified xsi:type="dcterms:W3CDTF">2026-01-28T05:56:12Z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0x010100683192A07DD7784F8B5B6F2AF250FBC8</vt:lpwstr>
  </property>
</Properties>
</file>