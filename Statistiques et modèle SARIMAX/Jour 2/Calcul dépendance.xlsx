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ormation 2025 - 2026 COURS\NEXA\M2 DATA - SARIMAX\"/>
    </mc:Choice>
  </mc:AlternateContent>
  <xr:revisionPtr revIDLastSave="0" documentId="13_ncr:1_{F8AD541C-5667-44A3-83A2-1B31416FE17C}" xr6:coauthVersionLast="47" xr6:coauthVersionMax="47" xr10:uidLastSave="{00000000-0000-0000-0000-000000000000}"/>
  <bookViews>
    <workbookView xWindow="1605" yWindow="165" windowWidth="26235" windowHeight="14970" tabRatio="851" activeTab="3" xr2:uid="{188A8456-0D5A-45F1-B891-CF462204CC38}"/>
  </bookViews>
  <sheets>
    <sheet name="Infarct contraception" sheetId="18" r:id="rId1"/>
    <sheet name="Infarct antécédant" sheetId="19" r:id="rId2"/>
    <sheet name="Infarct hypertension" sheetId="20" r:id="rId3"/>
    <sheet name="Infarct Tabac" sheetId="2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18" l="1"/>
  <c r="D35" i="21"/>
  <c r="L10" i="21"/>
  <c r="G10" i="21"/>
  <c r="M9" i="21" s="1"/>
  <c r="F10" i="21"/>
  <c r="E10" i="21"/>
  <c r="D10" i="21"/>
  <c r="L9" i="21"/>
  <c r="K9" i="21"/>
  <c r="G9" i="21"/>
  <c r="L8" i="21"/>
  <c r="K8" i="21"/>
  <c r="K10" i="21" s="1"/>
  <c r="G8" i="21"/>
  <c r="D35" i="20"/>
  <c r="F10" i="20"/>
  <c r="K9" i="20" s="1"/>
  <c r="E10" i="20"/>
  <c r="D10" i="20"/>
  <c r="F9" i="20"/>
  <c r="J8" i="20"/>
  <c r="F8" i="20"/>
  <c r="D35" i="19"/>
  <c r="F10" i="19"/>
  <c r="K8" i="19" s="1"/>
  <c r="E10" i="19"/>
  <c r="Q10" i="19" s="1"/>
  <c r="D10" i="19"/>
  <c r="P10" i="19" s="1"/>
  <c r="F9" i="19"/>
  <c r="Q9" i="19" s="1"/>
  <c r="F8" i="19"/>
  <c r="Q8" i="19" s="1"/>
  <c r="N9" i="21" l="1"/>
  <c r="M8" i="21"/>
  <c r="N8" i="21"/>
  <c r="K8" i="20"/>
  <c r="L8" i="20"/>
  <c r="J9" i="20"/>
  <c r="L9" i="20" s="1"/>
  <c r="J8" i="19"/>
  <c r="P8" i="19"/>
  <c r="J9" i="19"/>
  <c r="L9" i="19" s="1"/>
  <c r="K9" i="19"/>
  <c r="K10" i="19" s="1"/>
  <c r="P9" i="19"/>
  <c r="R9" i="19" s="1"/>
  <c r="L16" i="21" l="1"/>
  <c r="K16" i="21"/>
  <c r="N10" i="21"/>
  <c r="M10" i="21"/>
  <c r="M16" i="21" s="1"/>
  <c r="K17" i="21"/>
  <c r="L17" i="21"/>
  <c r="E17" i="21" s="1"/>
  <c r="M17" i="21"/>
  <c r="F17" i="21" s="1"/>
  <c r="L10" i="20"/>
  <c r="K10" i="20"/>
  <c r="K17" i="20" s="1"/>
  <c r="E17" i="20" s="1"/>
  <c r="J10" i="20"/>
  <c r="J17" i="20" s="1"/>
  <c r="K17" i="19"/>
  <c r="E17" i="19" s="1"/>
  <c r="E25" i="19" s="1"/>
  <c r="R10" i="19"/>
  <c r="R8" i="19"/>
  <c r="L8" i="19"/>
  <c r="L10" i="19"/>
  <c r="J10" i="19"/>
  <c r="J17" i="19" s="1"/>
  <c r="F16" i="21" l="1"/>
  <c r="M18" i="21"/>
  <c r="E42" i="21"/>
  <c r="E25" i="21"/>
  <c r="F42" i="21"/>
  <c r="F25" i="21"/>
  <c r="D17" i="21"/>
  <c r="N17" i="21"/>
  <c r="N18" i="21"/>
  <c r="N16" i="21"/>
  <c r="K18" i="21"/>
  <c r="D16" i="21"/>
  <c r="L18" i="21"/>
  <c r="E16" i="21"/>
  <c r="L17" i="20"/>
  <c r="D17" i="20"/>
  <c r="E42" i="20"/>
  <c r="E25" i="20"/>
  <c r="K16" i="20"/>
  <c r="J16" i="20"/>
  <c r="D17" i="19"/>
  <c r="L17" i="19"/>
  <c r="K16" i="19"/>
  <c r="J16" i="19"/>
  <c r="D24" i="21" l="1"/>
  <c r="D41" i="21"/>
  <c r="D36" i="21"/>
  <c r="G18" i="21"/>
  <c r="G16" i="21"/>
  <c r="D18" i="21"/>
  <c r="E24" i="21"/>
  <c r="E26" i="21" s="1"/>
  <c r="E41" i="21"/>
  <c r="E18" i="21"/>
  <c r="D25" i="21"/>
  <c r="G25" i="21" s="1"/>
  <c r="G17" i="21"/>
  <c r="D42" i="21"/>
  <c r="F24" i="21"/>
  <c r="F26" i="21" s="1"/>
  <c r="F41" i="21"/>
  <c r="F18" i="21"/>
  <c r="E16" i="20"/>
  <c r="K18" i="20"/>
  <c r="J18" i="20"/>
  <c r="L16" i="20"/>
  <c r="D16" i="20"/>
  <c r="L18" i="20"/>
  <c r="D42" i="20"/>
  <c r="F17" i="20"/>
  <c r="D25" i="20"/>
  <c r="E16" i="19"/>
  <c r="K18" i="19"/>
  <c r="L16" i="19"/>
  <c r="D16" i="19"/>
  <c r="L18" i="19"/>
  <c r="J18" i="19"/>
  <c r="D25" i="19"/>
  <c r="F17" i="19"/>
  <c r="G24" i="21" l="1"/>
  <c r="G26" i="21"/>
  <c r="D30" i="21" s="1"/>
  <c r="D26" i="21"/>
  <c r="D18" i="20"/>
  <c r="F18" i="20"/>
  <c r="D41" i="20"/>
  <c r="F16" i="20"/>
  <c r="D36" i="20"/>
  <c r="D24" i="20"/>
  <c r="E18" i="20"/>
  <c r="E41" i="20"/>
  <c r="E24" i="20"/>
  <c r="D36" i="19"/>
  <c r="D24" i="19"/>
  <c r="F16" i="19"/>
  <c r="F18" i="19"/>
  <c r="D18" i="19"/>
  <c r="E24" i="19"/>
  <c r="E18" i="19"/>
  <c r="F26" i="20" l="1"/>
  <c r="D30" i="20" s="1"/>
  <c r="F26" i="19"/>
  <c r="D30" i="19" s="1"/>
  <c r="E58" i="18" l="1"/>
  <c r="E59" i="18"/>
  <c r="D59" i="18"/>
  <c r="D58" i="18"/>
  <c r="J52" i="18"/>
  <c r="J30" i="18"/>
  <c r="K30" i="18"/>
  <c r="K29" i="18"/>
  <c r="K31" i="18" s="1"/>
  <c r="J29" i="18"/>
  <c r="L30" i="18"/>
  <c r="D51" i="18"/>
  <c r="K49" i="18"/>
  <c r="D46" i="18"/>
  <c r="D40" i="18"/>
  <c r="E40" i="18"/>
  <c r="E39" i="18"/>
  <c r="D39" i="18"/>
  <c r="D30" i="18"/>
  <c r="E30" i="18"/>
  <c r="E29" i="18"/>
  <c r="D29" i="18"/>
  <c r="E31" i="18"/>
  <c r="F30" i="18"/>
  <c r="F29" i="18"/>
  <c r="E21" i="18"/>
  <c r="D21" i="18"/>
  <c r="D22" i="18" s="1"/>
  <c r="E20" i="18"/>
  <c r="D20" i="18"/>
  <c r="F22" i="18"/>
  <c r="F21" i="18"/>
  <c r="F20" i="18"/>
  <c r="E22" i="18"/>
  <c r="J21" i="18"/>
  <c r="K21" i="18"/>
  <c r="K20" i="18"/>
  <c r="J20" i="18"/>
  <c r="L21" i="18"/>
  <c r="L13" i="18"/>
  <c r="J12" i="18"/>
  <c r="K12" i="18"/>
  <c r="J13" i="18"/>
  <c r="K13" i="18"/>
  <c r="K11" i="18"/>
  <c r="J11" i="18"/>
  <c r="L12" i="18"/>
  <c r="F13" i="18"/>
  <c r="E13" i="18"/>
  <c r="D13" i="18"/>
  <c r="F12" i="18"/>
  <c r="F11" i="18"/>
  <c r="L31" i="18" l="1"/>
  <c r="J31" i="18"/>
  <c r="L29" i="18"/>
  <c r="F41" i="18"/>
  <c r="F31" i="18"/>
  <c r="D31" i="18"/>
  <c r="K22" i="18"/>
  <c r="L20" i="18"/>
  <c r="L22" i="18"/>
  <c r="J22" i="18"/>
  <c r="L11" i="18"/>
</calcChain>
</file>

<file path=xl/sharedStrings.xml><?xml version="1.0" encoding="utf-8"?>
<sst xmlns="http://schemas.openxmlformats.org/spreadsheetml/2006/main" count="281" uniqueCount="50">
  <si>
    <t>degré de liberté</t>
  </si>
  <si>
    <t>alpha</t>
  </si>
  <si>
    <t>non</t>
  </si>
  <si>
    <t>oui</t>
  </si>
  <si>
    <t>ancienne</t>
  </si>
  <si>
    <t>actuelle</t>
  </si>
  <si>
    <t>Infarctus</t>
  </si>
  <si>
    <t>Total</t>
  </si>
  <si>
    <t>Contraception</t>
  </si>
  <si>
    <t>Tableau des effectifs réels</t>
  </si>
  <si>
    <t>Relation entre variables qualitatives</t>
  </si>
  <si>
    <t>Le cas de l'infarctus</t>
  </si>
  <si>
    <t>Question: Y a-t-il un lien de dépendance entre contraception et infarctus ?</t>
  </si>
  <si>
    <t>Tableau des fréquences lignes</t>
  </si>
  <si>
    <t>Tableau des fréquences totales</t>
  </si>
  <si>
    <t>A</t>
  </si>
  <si>
    <t>Ab</t>
  </si>
  <si>
    <t>B</t>
  </si>
  <si>
    <t>Bb</t>
  </si>
  <si>
    <t>P(A)</t>
  </si>
  <si>
    <t>P(Ab)</t>
  </si>
  <si>
    <t>P(B)</t>
  </si>
  <si>
    <t>P(Bb)</t>
  </si>
  <si>
    <t>P(A n B)</t>
  </si>
  <si>
    <t>Indépendance en proba =&gt; P(A) x P(B) = P(A n B)</t>
  </si>
  <si>
    <t>Tableau des fréquences théoriques correspondant à l'indépendance complète en probabiblité</t>
  </si>
  <si>
    <t>Tableau des effectifs théoriques</t>
  </si>
  <si>
    <t>Calcul du Chi²</t>
  </si>
  <si>
    <t>Résumé</t>
  </si>
  <si>
    <t>Chi² calculé</t>
  </si>
  <si>
    <t>infini</t>
  </si>
  <si>
    <t>indépendance</t>
  </si>
  <si>
    <t>Dépendance</t>
  </si>
  <si>
    <t>risque erreur</t>
  </si>
  <si>
    <t>Chi² théorique</t>
  </si>
  <si>
    <t>Indice de spécificité</t>
  </si>
  <si>
    <t>RELATION ENTRE INFARCTUS ET ANTECEDANT</t>
  </si>
  <si>
    <t>Effectifs réels</t>
  </si>
  <si>
    <t>Fréquence réelle</t>
  </si>
  <si>
    <t>Antécédant</t>
  </si>
  <si>
    <t>Effectifs théoriques</t>
  </si>
  <si>
    <t>Fréquence théorique</t>
  </si>
  <si>
    <t>Chi2 test</t>
  </si>
  <si>
    <t>Donc indépendant entre antécédant et infarctus</t>
  </si>
  <si>
    <t>RELATION ENTRE INFARCTUS ET HYPERTENSION</t>
  </si>
  <si>
    <t>Hypertension</t>
  </si>
  <si>
    <t>RELATION TABAC vs INFARCTUS</t>
  </si>
  <si>
    <t>Fréquence réelles</t>
  </si>
  <si>
    <t>Tabac</t>
  </si>
  <si>
    <t>Fréquence théoriques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</si>
</sst>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left"/>
    </xf>
    <xf numFmtId="9" fontId="0" fillId="0" borderId="0" xfId="1" applyFont="1" applyAlignment="1">
      <alignment horizontal="center"/>
    </xf>
    <xf numFmtId="9" fontId="1" fillId="0" borderId="0" xfId="1" applyFont="1" applyAlignment="1">
      <alignment horizontal="center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4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5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164" fontId="0" fillId="2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textRotation="90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left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215900</xdr:colOff>
      <xdr:row>41</xdr:row>
      <xdr:rowOff>98425</xdr:rowOff>
    </xdr:from>
    <xdr:to>
      <xdr:col>11</xdr:col>
      <xdr:colOff>406400</xdr:colOff>
      <xdr:row>43</xdr:row>
      <xdr:rowOff>173428</xdr:rowOff>
    </xdr:to>
    <xdr:pic>
      <xdr:nvPicPr>
        <xdr:cNvPr id="2" name="Image 1" descr="\documentclass{article}&#10;\usepackage{amsmath, amsfonts, amssymb, xcolor}&#10;\pagestyle{empty}&#10;\begin{document}&#10;&#10;\begin{equation*}&#10;\chi^2_{calcule} = \sum \frac{(n_{obs} - n_{theorique})^2}{n_{theorique}}&#10;\end{equation*}&#10;&#10;&#10;\end{document}" title="IguanaTex Bitmap Display">
          <a:extLst>
            <a:ext uri="{FF2B5EF4-FFF2-40B4-BE49-F238E27FC236}">
              <a16:creationId xmlns:a16="http://schemas.microsoft.com/office/drawing/2014/main" id="{788F4E2E-5304-44BF-9474-25BE5CDC1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8136467"/>
          <a:ext cx="2476500" cy="456003"/>
        </a:xfrm>
        <a:prstGeom prst="rect">
          <a:avLst/>
        </a:prstGeom>
      </xdr:spPr>
    </xdr:pic>
    <xdr:clientData/>
  </xdr:twoCellAnchor>
  <xdr:twoCellAnchor>
    <xdr:from>
      <xdr:col>8</xdr:col>
      <xdr:colOff>5291</xdr:colOff>
      <xdr:row>45</xdr:row>
      <xdr:rowOff>158749</xdr:rowOff>
    </xdr:from>
    <xdr:to>
      <xdr:col>11</xdr:col>
      <xdr:colOff>740833</xdr:colOff>
      <xdr:row>46</xdr:row>
      <xdr:rowOff>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8DEDD769-3FA6-884E-95B0-C47B12395FF3}"/>
            </a:ext>
          </a:extLst>
        </xdr:cNvPr>
        <xdr:cNvCxnSpPr/>
      </xdr:nvCxnSpPr>
      <xdr:spPr>
        <a:xfrm>
          <a:off x="4656666" y="8958791"/>
          <a:ext cx="3021542" cy="317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248708</xdr:colOff>
      <xdr:row>45</xdr:row>
      <xdr:rowOff>179916</xdr:rowOff>
    </xdr:from>
    <xdr:to>
      <xdr:col>10</xdr:col>
      <xdr:colOff>248709</xdr:colOff>
      <xdr:row>47</xdr:row>
      <xdr:rowOff>58208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B6877E9D-780D-138E-21D7-DA062C6622A8}"/>
            </a:ext>
          </a:extLst>
        </xdr:cNvPr>
        <xdr:cNvCxnSpPr/>
      </xdr:nvCxnSpPr>
      <xdr:spPr>
        <a:xfrm flipV="1">
          <a:off x="6424083" y="8979958"/>
          <a:ext cx="1" cy="2592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259292</xdr:colOff>
      <xdr:row>45</xdr:row>
      <xdr:rowOff>178858</xdr:rowOff>
    </xdr:from>
    <xdr:to>
      <xdr:col>9</xdr:col>
      <xdr:colOff>268818</xdr:colOff>
      <xdr:row>49</xdr:row>
      <xdr:rowOff>179916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A52D1ED0-9662-4FDC-802C-08AB28CF1ABF}"/>
            </a:ext>
          </a:extLst>
        </xdr:cNvPr>
        <xdr:cNvCxnSpPr/>
      </xdr:nvCxnSpPr>
      <xdr:spPr>
        <a:xfrm flipV="1">
          <a:off x="5672667" y="8978900"/>
          <a:ext cx="9526" cy="7630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588309</xdr:colOff>
      <xdr:row>26</xdr:row>
      <xdr:rowOff>89647</xdr:rowOff>
    </xdr:from>
    <xdr:to>
      <xdr:col>11</xdr:col>
      <xdr:colOff>219797</xdr:colOff>
      <xdr:row>28</xdr:row>
      <xdr:rowOff>164650</xdr:rowOff>
    </xdr:to>
    <xdr:pic>
      <xdr:nvPicPr>
        <xdr:cNvPr id="2" name="Image 1" descr="\documentclass{article}&#10;\usepackage{amsmath, amsfonts, amssymb, xcolor}&#10;\pagestyle{empty}&#10;\begin{document}&#10;&#10;\begin{equation*}&#10;\chi^2_{calcule} = \sum \frac{(n_{obs} - n_{theorique})^2}{n_{theorique}}&#10;\end{equation*}&#10;&#10;&#10;\end{document}" title="IguanaTex Bitmap Display">
          <a:extLst>
            <a:ext uri="{FF2B5EF4-FFF2-40B4-BE49-F238E27FC236}">
              <a16:creationId xmlns:a16="http://schemas.microsoft.com/office/drawing/2014/main" id="{3EE8FD49-E15D-42D9-8BCD-15B5A50B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209" y="5042647"/>
          <a:ext cx="2679488" cy="456003"/>
        </a:xfrm>
        <a:prstGeom prst="rect">
          <a:avLst/>
        </a:prstGeom>
      </xdr:spPr>
    </xdr:pic>
    <xdr:clientData/>
  </xdr:twoCellAnchor>
  <xdr:twoCellAnchor>
    <xdr:from>
      <xdr:col>7</xdr:col>
      <xdr:colOff>610722</xdr:colOff>
      <xdr:row>32</xdr:row>
      <xdr:rowOff>89648</xdr:rowOff>
    </xdr:from>
    <xdr:to>
      <xdr:col>11</xdr:col>
      <xdr:colOff>567726</xdr:colOff>
      <xdr:row>38</xdr:row>
      <xdr:rowOff>86253</xdr:rowOff>
    </xdr:to>
    <xdr:grpSp>
      <xdr:nvGrpSpPr>
        <xdr:cNvPr id="3" name="Groupe 2">
          <a:extLst>
            <a:ext uri="{FF2B5EF4-FFF2-40B4-BE49-F238E27FC236}">
              <a16:creationId xmlns:a16="http://schemas.microsoft.com/office/drawing/2014/main" id="{7BAEA972-7552-438A-A698-C0D2AA157CBB}"/>
            </a:ext>
          </a:extLst>
        </xdr:cNvPr>
        <xdr:cNvGrpSpPr/>
      </xdr:nvGrpSpPr>
      <xdr:grpSpPr>
        <a:xfrm>
          <a:off x="4948927" y="6185648"/>
          <a:ext cx="3005004" cy="1139605"/>
          <a:chOff x="5675779" y="4953000"/>
          <a:chExt cx="3005004" cy="1139605"/>
        </a:xfrm>
      </xdr:grpSpPr>
      <xdr:cxnSp macro="">
        <xdr:nvCxnSpPr>
          <xdr:cNvPr id="4" name="Connecteur droit avec flèche 3">
            <a:extLst>
              <a:ext uri="{FF2B5EF4-FFF2-40B4-BE49-F238E27FC236}">
                <a16:creationId xmlns:a16="http://schemas.microsoft.com/office/drawing/2014/main" id="{54DBB4F1-8965-9D45-6512-27456A5040F2}"/>
              </a:ext>
            </a:extLst>
          </xdr:cNvPr>
          <xdr:cNvCxnSpPr/>
        </xdr:nvCxnSpPr>
        <xdr:spPr>
          <a:xfrm>
            <a:off x="5701559" y="4953000"/>
            <a:ext cx="2782957" cy="0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5" name="Image 4" descr="\documentclass{article}&#10;\usepackage{amsmath, amsfonts, amssymb, xcolor}&#10;\pagestyle{empty}&#10;\begin{document}&#10;&#10;\begin{equation*}&#10;\chi^2_{theorique} &#10;\end{equation*}&#10;&#10;&#10;\end{document}" title="IguanaTex Bitmap Display">
            <a:extLst>
              <a:ext uri="{FF2B5EF4-FFF2-40B4-BE49-F238E27FC236}">
                <a16:creationId xmlns:a16="http://schemas.microsoft.com/office/drawing/2014/main" id="{FD649E16-1A73-1533-D869-717C1C6054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31221" y="5857815"/>
            <a:ext cx="741151" cy="234790"/>
          </a:xfrm>
          <a:prstGeom prst="rect">
            <a:avLst/>
          </a:prstGeom>
        </xdr:spPr>
      </xdr:pic>
      <xdr:cxnSp macro="">
        <xdr:nvCxnSpPr>
          <xdr:cNvPr id="6" name="Connecteur droit avec flèche 5">
            <a:extLst>
              <a:ext uri="{FF2B5EF4-FFF2-40B4-BE49-F238E27FC236}">
                <a16:creationId xmlns:a16="http://schemas.microsoft.com/office/drawing/2014/main" id="{630A044D-27D6-6606-1ECB-05A4408E7898}"/>
              </a:ext>
            </a:extLst>
          </xdr:cNvPr>
          <xdr:cNvCxnSpPr>
            <a:cxnSpLocks/>
            <a:stCxn id="5" idx="0"/>
          </xdr:cNvCxnSpPr>
        </xdr:nvCxnSpPr>
        <xdr:spPr>
          <a:xfrm flipV="1">
            <a:off x="7101797" y="4953000"/>
            <a:ext cx="0" cy="90481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Accolade ouvrante 6">
            <a:extLst>
              <a:ext uri="{FF2B5EF4-FFF2-40B4-BE49-F238E27FC236}">
                <a16:creationId xmlns:a16="http://schemas.microsoft.com/office/drawing/2014/main" id="{C20DFF53-377E-DB19-1783-82FBEC73C29A}"/>
              </a:ext>
            </a:extLst>
          </xdr:cNvPr>
          <xdr:cNvSpPr/>
        </xdr:nvSpPr>
        <xdr:spPr>
          <a:xfrm rot="16200000">
            <a:off x="6346517" y="4900110"/>
            <a:ext cx="127841" cy="1382720"/>
          </a:xfrm>
          <a:prstGeom prst="lef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/>
          </a:p>
        </xdr:txBody>
      </xdr:sp>
      <xdr:sp macro="" textlink="">
        <xdr:nvSpPr>
          <xdr:cNvPr id="8" name="Accolade ouvrante 7">
            <a:extLst>
              <a:ext uri="{FF2B5EF4-FFF2-40B4-BE49-F238E27FC236}">
                <a16:creationId xmlns:a16="http://schemas.microsoft.com/office/drawing/2014/main" id="{F97048E9-E7C7-6FA8-7744-093B8B42B3ED}"/>
              </a:ext>
            </a:extLst>
          </xdr:cNvPr>
          <xdr:cNvSpPr/>
        </xdr:nvSpPr>
        <xdr:spPr>
          <a:xfrm rot="16200000">
            <a:off x="7729237" y="4900111"/>
            <a:ext cx="127841" cy="1382720"/>
          </a:xfrm>
          <a:prstGeom prst="lef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/>
          </a:p>
        </xdr:txBody>
      </xdr:sp>
      <xdr:sp macro="" textlink="">
        <xdr:nvSpPr>
          <xdr:cNvPr id="9" name="ZoneTexte 36">
            <a:extLst>
              <a:ext uri="{FF2B5EF4-FFF2-40B4-BE49-F238E27FC236}">
                <a16:creationId xmlns:a16="http://schemas.microsoft.com/office/drawing/2014/main" id="{E3B34D3F-FAA9-382D-2F4E-1367DE2B34CD}"/>
              </a:ext>
            </a:extLst>
          </xdr:cNvPr>
          <xdr:cNvSpPr txBox="1"/>
        </xdr:nvSpPr>
        <xdr:spPr>
          <a:xfrm>
            <a:off x="5675779" y="5230816"/>
            <a:ext cx="1556449" cy="276999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fr-FR" sz="1200">
                <a:latin typeface="Garamond" panose="02020404030301010803" pitchFamily="18" charset="0"/>
              </a:rPr>
              <a:t>Zone d'indépendance</a:t>
            </a:r>
            <a:endParaRPr lang="fr-FR" sz="1200"/>
          </a:p>
        </xdr:txBody>
      </xdr:sp>
      <xdr:sp macro="" textlink="">
        <xdr:nvSpPr>
          <xdr:cNvPr id="10" name="ZoneTexte 37">
            <a:extLst>
              <a:ext uri="{FF2B5EF4-FFF2-40B4-BE49-F238E27FC236}">
                <a16:creationId xmlns:a16="http://schemas.microsoft.com/office/drawing/2014/main" id="{5F589044-E697-C917-8047-82CB9F5C7EFB}"/>
              </a:ext>
            </a:extLst>
          </xdr:cNvPr>
          <xdr:cNvSpPr txBox="1"/>
        </xdr:nvSpPr>
        <xdr:spPr>
          <a:xfrm>
            <a:off x="7124334" y="5241745"/>
            <a:ext cx="1556449" cy="276999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fr-FR" sz="1200">
                <a:latin typeface="Garamond" panose="02020404030301010803" pitchFamily="18" charset="0"/>
              </a:rPr>
              <a:t>Zone de dépendance</a:t>
            </a:r>
            <a:endParaRPr lang="fr-FR" sz="12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588309</xdr:colOff>
      <xdr:row>26</xdr:row>
      <xdr:rowOff>89647</xdr:rowOff>
    </xdr:from>
    <xdr:to>
      <xdr:col>11</xdr:col>
      <xdr:colOff>219797</xdr:colOff>
      <xdr:row>28</xdr:row>
      <xdr:rowOff>164650</xdr:rowOff>
    </xdr:to>
    <xdr:pic>
      <xdr:nvPicPr>
        <xdr:cNvPr id="2" name="Image 1" descr="\documentclass{article}&#10;\usepackage{amsmath, amsfonts, amssymb, xcolor}&#10;\pagestyle{empty}&#10;\begin{document}&#10;&#10;\begin{equation*}&#10;\chi^2_{calcule} = \sum \frac{(n_{obs} - n_{theorique})^2}{n_{theorique}}&#10;\end{equation*}&#10;&#10;&#10;\end{document}" title="IguanaTex Bitmap Display">
          <a:extLst>
            <a:ext uri="{FF2B5EF4-FFF2-40B4-BE49-F238E27FC236}">
              <a16:creationId xmlns:a16="http://schemas.microsoft.com/office/drawing/2014/main" id="{7AB0FCA6-5BCC-431C-BCC9-5E730232C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209" y="5042647"/>
          <a:ext cx="2679488" cy="456003"/>
        </a:xfrm>
        <a:prstGeom prst="rect">
          <a:avLst/>
        </a:prstGeom>
      </xdr:spPr>
    </xdr:pic>
    <xdr:clientData/>
  </xdr:twoCellAnchor>
  <xdr:twoCellAnchor>
    <xdr:from>
      <xdr:col>7</xdr:col>
      <xdr:colOff>610722</xdr:colOff>
      <xdr:row>32</xdr:row>
      <xdr:rowOff>89648</xdr:rowOff>
    </xdr:from>
    <xdr:to>
      <xdr:col>11</xdr:col>
      <xdr:colOff>567726</xdr:colOff>
      <xdr:row>38</xdr:row>
      <xdr:rowOff>86253</xdr:rowOff>
    </xdr:to>
    <xdr:grpSp>
      <xdr:nvGrpSpPr>
        <xdr:cNvPr id="3" name="Groupe 2">
          <a:extLst>
            <a:ext uri="{FF2B5EF4-FFF2-40B4-BE49-F238E27FC236}">
              <a16:creationId xmlns:a16="http://schemas.microsoft.com/office/drawing/2014/main" id="{3206744E-8694-4579-A03E-EFE048472BC5}"/>
            </a:ext>
          </a:extLst>
        </xdr:cNvPr>
        <xdr:cNvGrpSpPr/>
      </xdr:nvGrpSpPr>
      <xdr:grpSpPr>
        <a:xfrm>
          <a:off x="5525622" y="6185648"/>
          <a:ext cx="3005004" cy="1139605"/>
          <a:chOff x="5675779" y="4953000"/>
          <a:chExt cx="3005004" cy="1139605"/>
        </a:xfrm>
      </xdr:grpSpPr>
      <xdr:cxnSp macro="">
        <xdr:nvCxnSpPr>
          <xdr:cNvPr id="4" name="Connecteur droit avec flèche 3">
            <a:extLst>
              <a:ext uri="{FF2B5EF4-FFF2-40B4-BE49-F238E27FC236}">
                <a16:creationId xmlns:a16="http://schemas.microsoft.com/office/drawing/2014/main" id="{40B749FB-2F5C-8205-91E8-53969FE61B1A}"/>
              </a:ext>
            </a:extLst>
          </xdr:cNvPr>
          <xdr:cNvCxnSpPr/>
        </xdr:nvCxnSpPr>
        <xdr:spPr>
          <a:xfrm>
            <a:off x="5701559" y="4953000"/>
            <a:ext cx="2782957" cy="0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5" name="Image 4" descr="\documentclass{article}&#10;\usepackage{amsmath, amsfonts, amssymb, xcolor}&#10;\pagestyle{empty}&#10;\begin{document}&#10;&#10;\begin{equation*}&#10;\chi^2_{theorique} &#10;\end{equation*}&#10;&#10;&#10;\end{document}" title="IguanaTex Bitmap Display">
            <a:extLst>
              <a:ext uri="{FF2B5EF4-FFF2-40B4-BE49-F238E27FC236}">
                <a16:creationId xmlns:a16="http://schemas.microsoft.com/office/drawing/2014/main" id="{46C3B832-44DB-A310-CC18-24FC81BCA7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31221" y="5857815"/>
            <a:ext cx="741151" cy="234790"/>
          </a:xfrm>
          <a:prstGeom prst="rect">
            <a:avLst/>
          </a:prstGeom>
        </xdr:spPr>
      </xdr:pic>
      <xdr:cxnSp macro="">
        <xdr:nvCxnSpPr>
          <xdr:cNvPr id="6" name="Connecteur droit avec flèche 5">
            <a:extLst>
              <a:ext uri="{FF2B5EF4-FFF2-40B4-BE49-F238E27FC236}">
                <a16:creationId xmlns:a16="http://schemas.microsoft.com/office/drawing/2014/main" id="{F269562B-F1E2-DFC6-7716-A9694E02E620}"/>
              </a:ext>
            </a:extLst>
          </xdr:cNvPr>
          <xdr:cNvCxnSpPr>
            <a:cxnSpLocks/>
            <a:stCxn id="5" idx="0"/>
          </xdr:cNvCxnSpPr>
        </xdr:nvCxnSpPr>
        <xdr:spPr>
          <a:xfrm flipV="1">
            <a:off x="7101797" y="4953000"/>
            <a:ext cx="0" cy="90481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Accolade ouvrante 6">
            <a:extLst>
              <a:ext uri="{FF2B5EF4-FFF2-40B4-BE49-F238E27FC236}">
                <a16:creationId xmlns:a16="http://schemas.microsoft.com/office/drawing/2014/main" id="{5ED2BFE5-B4B0-88B8-E516-8F08418F6987}"/>
              </a:ext>
            </a:extLst>
          </xdr:cNvPr>
          <xdr:cNvSpPr/>
        </xdr:nvSpPr>
        <xdr:spPr>
          <a:xfrm rot="16200000">
            <a:off x="6346517" y="4900110"/>
            <a:ext cx="127841" cy="1382720"/>
          </a:xfrm>
          <a:prstGeom prst="lef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/>
          </a:p>
        </xdr:txBody>
      </xdr:sp>
      <xdr:sp macro="" textlink="">
        <xdr:nvSpPr>
          <xdr:cNvPr id="8" name="Accolade ouvrante 7">
            <a:extLst>
              <a:ext uri="{FF2B5EF4-FFF2-40B4-BE49-F238E27FC236}">
                <a16:creationId xmlns:a16="http://schemas.microsoft.com/office/drawing/2014/main" id="{86BD8076-96A3-9550-EA92-171EC9E7DF10}"/>
              </a:ext>
            </a:extLst>
          </xdr:cNvPr>
          <xdr:cNvSpPr/>
        </xdr:nvSpPr>
        <xdr:spPr>
          <a:xfrm rot="16200000">
            <a:off x="7729237" y="4900111"/>
            <a:ext cx="127841" cy="1382720"/>
          </a:xfrm>
          <a:prstGeom prst="lef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/>
          </a:p>
        </xdr:txBody>
      </xdr:sp>
      <xdr:sp macro="" textlink="">
        <xdr:nvSpPr>
          <xdr:cNvPr id="9" name="ZoneTexte 36">
            <a:extLst>
              <a:ext uri="{FF2B5EF4-FFF2-40B4-BE49-F238E27FC236}">
                <a16:creationId xmlns:a16="http://schemas.microsoft.com/office/drawing/2014/main" id="{33098937-9C5F-B73B-F27C-1188C0C7851A}"/>
              </a:ext>
            </a:extLst>
          </xdr:cNvPr>
          <xdr:cNvSpPr txBox="1"/>
        </xdr:nvSpPr>
        <xdr:spPr>
          <a:xfrm>
            <a:off x="5675779" y="5230816"/>
            <a:ext cx="1556449" cy="276999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fr-FR" sz="1200">
                <a:latin typeface="Garamond" panose="02020404030301010803" pitchFamily="18" charset="0"/>
              </a:rPr>
              <a:t>Zone d'indépendance</a:t>
            </a:r>
            <a:endParaRPr lang="fr-FR" sz="1200"/>
          </a:p>
        </xdr:txBody>
      </xdr:sp>
      <xdr:sp macro="" textlink="">
        <xdr:nvSpPr>
          <xdr:cNvPr id="10" name="ZoneTexte 37">
            <a:extLst>
              <a:ext uri="{FF2B5EF4-FFF2-40B4-BE49-F238E27FC236}">
                <a16:creationId xmlns:a16="http://schemas.microsoft.com/office/drawing/2014/main" id="{8165D17F-9BFC-AB3C-1F4C-F9FE6F828378}"/>
              </a:ext>
            </a:extLst>
          </xdr:cNvPr>
          <xdr:cNvSpPr txBox="1"/>
        </xdr:nvSpPr>
        <xdr:spPr>
          <a:xfrm>
            <a:off x="7124334" y="5241745"/>
            <a:ext cx="1556449" cy="276999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fr-FR" sz="1200">
                <a:latin typeface="Garamond" panose="02020404030301010803" pitchFamily="18" charset="0"/>
              </a:rPr>
              <a:t>Zone de dépendance</a:t>
            </a:r>
            <a:endParaRPr lang="fr-FR" sz="12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20411</xdr:colOff>
      <xdr:row>29</xdr:row>
      <xdr:rowOff>6804</xdr:rowOff>
    </xdr:from>
    <xdr:to>
      <xdr:col>12</xdr:col>
      <xdr:colOff>739415</xdr:colOff>
      <xdr:row>35</xdr:row>
      <xdr:rowOff>3409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0DABDB88-8DF6-42D7-BE58-DC0CB9AD1BBA}"/>
            </a:ext>
          </a:extLst>
        </xdr:cNvPr>
        <xdr:cNvGrpSpPr/>
      </xdr:nvGrpSpPr>
      <xdr:grpSpPr>
        <a:xfrm>
          <a:off x="4925786" y="5531304"/>
          <a:ext cx="3005004" cy="1139605"/>
          <a:chOff x="5675779" y="4953000"/>
          <a:chExt cx="3005004" cy="1139605"/>
        </a:xfrm>
      </xdr:grpSpPr>
      <xdr:cxnSp macro="">
        <xdr:nvCxnSpPr>
          <xdr:cNvPr id="3" name="Connecteur droit avec flèche 2">
            <a:extLst>
              <a:ext uri="{FF2B5EF4-FFF2-40B4-BE49-F238E27FC236}">
                <a16:creationId xmlns:a16="http://schemas.microsoft.com/office/drawing/2014/main" id="{ED775E6E-D377-DC55-93A6-BF89F5C622FE}"/>
              </a:ext>
            </a:extLst>
          </xdr:cNvPr>
          <xdr:cNvCxnSpPr/>
        </xdr:nvCxnSpPr>
        <xdr:spPr>
          <a:xfrm>
            <a:off x="5701559" y="4953000"/>
            <a:ext cx="2782957" cy="0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4" name="Image 3" descr="\documentclass{article}&#10;\usepackage{amsmath, amsfonts, amssymb, xcolor}&#10;\pagestyle{empty}&#10;\begin{document}&#10;&#10;\begin{equation*}&#10;\chi^2_{theorique} &#10;\end{equation*}&#10;&#10;&#10;\end{document}" title="IguanaTex Bitmap Display">
            <a:extLst>
              <a:ext uri="{FF2B5EF4-FFF2-40B4-BE49-F238E27FC236}">
                <a16:creationId xmlns:a16="http://schemas.microsoft.com/office/drawing/2014/main" id="{AE9CF22E-2F38-D74F-3B3C-DFD5158E0D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31221" y="5857815"/>
            <a:ext cx="741151" cy="234790"/>
          </a:xfrm>
          <a:prstGeom prst="rect">
            <a:avLst/>
          </a:prstGeom>
        </xdr:spPr>
      </xdr:pic>
      <xdr:cxnSp macro="">
        <xdr:nvCxnSpPr>
          <xdr:cNvPr id="5" name="Connecteur droit avec flèche 4">
            <a:extLst>
              <a:ext uri="{FF2B5EF4-FFF2-40B4-BE49-F238E27FC236}">
                <a16:creationId xmlns:a16="http://schemas.microsoft.com/office/drawing/2014/main" id="{CD6E3ACE-362D-7020-2450-D7DC8AC948E5}"/>
              </a:ext>
            </a:extLst>
          </xdr:cNvPr>
          <xdr:cNvCxnSpPr>
            <a:cxnSpLocks/>
            <a:stCxn id="4" idx="0"/>
          </xdr:cNvCxnSpPr>
        </xdr:nvCxnSpPr>
        <xdr:spPr>
          <a:xfrm flipV="1">
            <a:off x="7101797" y="4953000"/>
            <a:ext cx="0" cy="90481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Accolade ouvrante 5">
            <a:extLst>
              <a:ext uri="{FF2B5EF4-FFF2-40B4-BE49-F238E27FC236}">
                <a16:creationId xmlns:a16="http://schemas.microsoft.com/office/drawing/2014/main" id="{07EEAC56-DC5E-C944-3D92-9A664E4A21B3}"/>
              </a:ext>
            </a:extLst>
          </xdr:cNvPr>
          <xdr:cNvSpPr/>
        </xdr:nvSpPr>
        <xdr:spPr>
          <a:xfrm rot="16200000">
            <a:off x="6346517" y="4900110"/>
            <a:ext cx="127841" cy="1382720"/>
          </a:xfrm>
          <a:prstGeom prst="lef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/>
          </a:p>
        </xdr:txBody>
      </xdr:sp>
      <xdr:sp macro="" textlink="">
        <xdr:nvSpPr>
          <xdr:cNvPr id="7" name="Accolade ouvrante 6">
            <a:extLst>
              <a:ext uri="{FF2B5EF4-FFF2-40B4-BE49-F238E27FC236}">
                <a16:creationId xmlns:a16="http://schemas.microsoft.com/office/drawing/2014/main" id="{6DC2C8D6-803A-F779-F196-63AB7B952B5E}"/>
              </a:ext>
            </a:extLst>
          </xdr:cNvPr>
          <xdr:cNvSpPr/>
        </xdr:nvSpPr>
        <xdr:spPr>
          <a:xfrm rot="16200000">
            <a:off x="7729237" y="4900111"/>
            <a:ext cx="127841" cy="1382720"/>
          </a:xfrm>
          <a:prstGeom prst="leftBrac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/>
          </a:p>
        </xdr:txBody>
      </xdr:sp>
      <xdr:sp macro="" textlink="">
        <xdr:nvSpPr>
          <xdr:cNvPr id="8" name="ZoneTexte 36">
            <a:extLst>
              <a:ext uri="{FF2B5EF4-FFF2-40B4-BE49-F238E27FC236}">
                <a16:creationId xmlns:a16="http://schemas.microsoft.com/office/drawing/2014/main" id="{1CC52708-7EFB-CFEC-8795-5A83F0773C26}"/>
              </a:ext>
            </a:extLst>
          </xdr:cNvPr>
          <xdr:cNvSpPr txBox="1"/>
        </xdr:nvSpPr>
        <xdr:spPr>
          <a:xfrm>
            <a:off x="5675779" y="5230816"/>
            <a:ext cx="1556449" cy="276999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fr-FR" sz="1200">
                <a:latin typeface="Garamond" panose="02020404030301010803" pitchFamily="18" charset="0"/>
              </a:rPr>
              <a:t>Zone d'indépendance</a:t>
            </a:r>
            <a:endParaRPr lang="fr-FR" sz="1200"/>
          </a:p>
        </xdr:txBody>
      </xdr:sp>
      <xdr:sp macro="" textlink="">
        <xdr:nvSpPr>
          <xdr:cNvPr id="9" name="ZoneTexte 37">
            <a:extLst>
              <a:ext uri="{FF2B5EF4-FFF2-40B4-BE49-F238E27FC236}">
                <a16:creationId xmlns:a16="http://schemas.microsoft.com/office/drawing/2014/main" id="{17512FF1-9DED-DB24-AF1D-27B7C22ABF4D}"/>
              </a:ext>
            </a:extLst>
          </xdr:cNvPr>
          <xdr:cNvSpPr txBox="1"/>
        </xdr:nvSpPr>
        <xdr:spPr>
          <a:xfrm>
            <a:off x="7124334" y="5241745"/>
            <a:ext cx="1556449" cy="276999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fr-FR" sz="1200">
                <a:latin typeface="Garamond" panose="02020404030301010803" pitchFamily="18" charset="0"/>
              </a:rPr>
              <a:t>Zone de dépendance</a:t>
            </a:r>
            <a:endParaRPr lang="fr-FR" sz="1200"/>
          </a:p>
        </xdr:txBody>
      </xdr:sp>
    </xdr:grpSp>
    <xdr:clientData/>
  </xdr:twoCellAnchor>
  <xdr:twoCellAnchor editAs="oneCell">
    <xdr:from>
      <xdr:col>9</xdr:col>
      <xdr:colOff>0</xdr:colOff>
      <xdr:row>23</xdr:row>
      <xdr:rowOff>0</xdr:rowOff>
    </xdr:from>
    <xdr:to>
      <xdr:col>12</xdr:col>
      <xdr:colOff>393488</xdr:colOff>
      <xdr:row>25</xdr:row>
      <xdr:rowOff>75003</xdr:rowOff>
    </xdr:to>
    <xdr:pic>
      <xdr:nvPicPr>
        <xdr:cNvPr id="10" name="Image 9" descr="\documentclass{article}&#10;\usepackage{amsmath, amsfonts, amssymb, xcolor}&#10;\pagestyle{empty}&#10;\begin{document}&#10;&#10;\begin{equation*}&#10;\chi^2_{calcule} = \sum \frac{(n_{obs} - n_{theorique})^2}{n_{theorique}}&#10;\end{equation*}&#10;&#10;&#10;\end{document}" title="IguanaTex Bitmap Display">
          <a:extLst>
            <a:ext uri="{FF2B5EF4-FFF2-40B4-BE49-F238E27FC236}">
              <a16:creationId xmlns:a16="http://schemas.microsoft.com/office/drawing/2014/main" id="{DDA722C7-E17F-495D-B75D-13738F690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381500"/>
          <a:ext cx="2679488" cy="456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1F5D-F9DC-4BA8-9C5A-38075F64FEFC}">
  <dimension ref="B2:Q60"/>
  <sheetViews>
    <sheetView topLeftCell="A29" zoomScaleNormal="100" workbookViewId="0">
      <selection activeCell="E52" sqref="E52"/>
    </sheetView>
  </sheetViews>
  <sheetFormatPr baseColWidth="10" defaultRowHeight="15" x14ac:dyDescent="0.25"/>
  <cols>
    <col min="1" max="1" width="4.42578125" customWidth="1"/>
    <col min="2" max="2" width="5" style="1" customWidth="1"/>
    <col min="3" max="3" width="11.42578125" style="1"/>
    <col min="4" max="4" width="12" style="1" bestFit="1" customWidth="1"/>
    <col min="5" max="6" width="11.42578125" style="1"/>
    <col min="7" max="7" width="3.140625" style="1" customWidth="1"/>
    <col min="8" max="9" width="11.42578125" style="1"/>
    <col min="13" max="13" width="2.5703125" customWidth="1"/>
  </cols>
  <sheetData>
    <row r="2" spans="2:12" x14ac:dyDescent="0.25">
      <c r="B2" s="8" t="s">
        <v>10</v>
      </c>
    </row>
    <row r="3" spans="2:12" x14ac:dyDescent="0.25">
      <c r="B3" s="7" t="s">
        <v>11</v>
      </c>
    </row>
    <row r="4" spans="2:12" x14ac:dyDescent="0.25">
      <c r="B4" s="7"/>
    </row>
    <row r="5" spans="2:12" x14ac:dyDescent="0.25">
      <c r="B5" s="11" t="s">
        <v>12</v>
      </c>
    </row>
    <row r="7" spans="2:12" x14ac:dyDescent="0.25">
      <c r="B7" s="9" t="s">
        <v>9</v>
      </c>
      <c r="C7" s="10"/>
      <c r="D7" s="10"/>
      <c r="E7" s="10"/>
      <c r="F7" s="10"/>
      <c r="H7" s="9" t="s">
        <v>13</v>
      </c>
      <c r="I7" s="10"/>
      <c r="J7" s="10"/>
      <c r="K7" s="10"/>
      <c r="L7" s="10"/>
    </row>
    <row r="8" spans="2:12" x14ac:dyDescent="0.25">
      <c r="J8" s="1"/>
      <c r="K8" s="1"/>
      <c r="L8" s="1"/>
    </row>
    <row r="9" spans="2:12" x14ac:dyDescent="0.25">
      <c r="D9" s="33" t="s">
        <v>8</v>
      </c>
      <c r="E9" s="33"/>
      <c r="F9" s="33"/>
      <c r="J9" s="33" t="s">
        <v>8</v>
      </c>
      <c r="K9" s="33"/>
      <c r="L9" s="33"/>
    </row>
    <row r="10" spans="2:12" x14ac:dyDescent="0.25">
      <c r="D10" s="4" t="s">
        <v>2</v>
      </c>
      <c r="E10" s="4" t="s">
        <v>3</v>
      </c>
      <c r="F10" s="4" t="s">
        <v>7</v>
      </c>
      <c r="J10" s="4" t="s">
        <v>2</v>
      </c>
      <c r="K10" s="4" t="s">
        <v>3</v>
      </c>
      <c r="L10" s="4" t="s">
        <v>7</v>
      </c>
    </row>
    <row r="11" spans="2:12" x14ac:dyDescent="0.25">
      <c r="B11" s="34" t="s">
        <v>6</v>
      </c>
      <c r="C11" s="4" t="s">
        <v>2</v>
      </c>
      <c r="D11" s="24">
        <v>212</v>
      </c>
      <c r="E11" s="1">
        <v>88</v>
      </c>
      <c r="F11" s="4">
        <f>SUM(D11:E11)</f>
        <v>300</v>
      </c>
      <c r="H11" s="34" t="s">
        <v>6</v>
      </c>
      <c r="I11" s="4" t="s">
        <v>2</v>
      </c>
      <c r="J11" s="12">
        <f>D11/F11</f>
        <v>0.70666666666666667</v>
      </c>
      <c r="K11" s="12">
        <f>E11/F11</f>
        <v>0.29333333333333333</v>
      </c>
      <c r="L11" s="13">
        <f>SUM(J11:K11)</f>
        <v>1</v>
      </c>
    </row>
    <row r="12" spans="2:12" x14ac:dyDescent="0.25">
      <c r="B12" s="34"/>
      <c r="C12" s="4" t="s">
        <v>3</v>
      </c>
      <c r="D12" s="1">
        <v>37</v>
      </c>
      <c r="E12" s="24">
        <v>112</v>
      </c>
      <c r="F12" s="4">
        <f>SUM(D12:E12)</f>
        <v>149</v>
      </c>
      <c r="H12" s="34"/>
      <c r="I12" s="4" t="s">
        <v>3</v>
      </c>
      <c r="J12" s="12">
        <f t="shared" ref="J12:J13" si="0">D12/F12</f>
        <v>0.24832214765100671</v>
      </c>
      <c r="K12" s="12">
        <f t="shared" ref="K12:K13" si="1">E12/F12</f>
        <v>0.75167785234899331</v>
      </c>
      <c r="L12" s="13">
        <f>SUM(J12:K12)</f>
        <v>1</v>
      </c>
    </row>
    <row r="13" spans="2:12" x14ac:dyDescent="0.25">
      <c r="B13" s="34"/>
      <c r="C13" s="4" t="s">
        <v>7</v>
      </c>
      <c r="D13" s="4">
        <f>SUM(D11:D12)</f>
        <v>249</v>
      </c>
      <c r="E13" s="4">
        <f>SUM(E11:E12)</f>
        <v>200</v>
      </c>
      <c r="F13" s="4">
        <f>SUM(D11:E12)</f>
        <v>449</v>
      </c>
      <c r="H13" s="34"/>
      <c r="I13" s="4" t="s">
        <v>7</v>
      </c>
      <c r="J13" s="13">
        <f t="shared" si="0"/>
        <v>0.55456570155902007</v>
      </c>
      <c r="K13" s="13">
        <f t="shared" si="1"/>
        <v>0.44543429844097998</v>
      </c>
      <c r="L13" s="13">
        <f>SUM(J13:K13)</f>
        <v>1</v>
      </c>
    </row>
    <row r="16" spans="2:12" ht="33" customHeight="1" x14ac:dyDescent="0.25">
      <c r="B16" s="35" t="s">
        <v>25</v>
      </c>
      <c r="C16" s="35"/>
      <c r="D16" s="35"/>
      <c r="E16" s="35"/>
      <c r="F16" s="35"/>
      <c r="H16" s="36" t="s">
        <v>14</v>
      </c>
      <c r="I16" s="36"/>
      <c r="J16" s="36"/>
      <c r="K16" s="36"/>
      <c r="L16" s="36"/>
    </row>
    <row r="17" spans="2:17" x14ac:dyDescent="0.25">
      <c r="J17" s="1"/>
      <c r="K17" s="1"/>
      <c r="L17" s="1"/>
    </row>
    <row r="18" spans="2:17" x14ac:dyDescent="0.25">
      <c r="D18" s="33" t="s">
        <v>8</v>
      </c>
      <c r="E18" s="33"/>
      <c r="F18" s="33"/>
      <c r="J18" s="33" t="s">
        <v>8</v>
      </c>
      <c r="K18" s="33"/>
      <c r="L18" s="33"/>
    </row>
    <row r="19" spans="2:17" x14ac:dyDescent="0.25">
      <c r="D19" s="4" t="s">
        <v>2</v>
      </c>
      <c r="E19" s="4" t="s">
        <v>3</v>
      </c>
      <c r="F19" s="4" t="s">
        <v>7</v>
      </c>
      <c r="J19" s="4" t="s">
        <v>2</v>
      </c>
      <c r="K19" s="4" t="s">
        <v>3</v>
      </c>
      <c r="L19" s="4" t="s">
        <v>7</v>
      </c>
      <c r="N19" s="14"/>
      <c r="O19" s="5" t="s">
        <v>17</v>
      </c>
      <c r="P19" s="6" t="s">
        <v>18</v>
      </c>
      <c r="Q19" s="15" t="s">
        <v>7</v>
      </c>
    </row>
    <row r="20" spans="2:17" x14ac:dyDescent="0.25">
      <c r="B20" s="34" t="s">
        <v>6</v>
      </c>
      <c r="C20" s="4" t="s">
        <v>2</v>
      </c>
      <c r="D20" s="12">
        <f>L20*J22</f>
        <v>0.37053387632005796</v>
      </c>
      <c r="E20" s="12">
        <f>L20*K22</f>
        <v>0.29761757134141198</v>
      </c>
      <c r="F20" s="13">
        <f>SUM(D20:E20)</f>
        <v>0.66815144766146994</v>
      </c>
      <c r="H20" s="34" t="s">
        <v>6</v>
      </c>
      <c r="I20" s="4" t="s">
        <v>2</v>
      </c>
      <c r="J20" s="12">
        <f xml:space="preserve"> D11 / $F$13</f>
        <v>0.47216035634743875</v>
      </c>
      <c r="K20" s="12">
        <f xml:space="preserve"> E11 / $F$13</f>
        <v>0.19599109131403117</v>
      </c>
      <c r="L20" s="13">
        <f>SUM(J20:K20)</f>
        <v>0.66815144766146994</v>
      </c>
      <c r="N20" s="21" t="s">
        <v>15</v>
      </c>
      <c r="O20" s="18" t="s">
        <v>23</v>
      </c>
      <c r="P20" s="19"/>
      <c r="Q20" s="21" t="s">
        <v>19</v>
      </c>
    </row>
    <row r="21" spans="2:17" x14ac:dyDescent="0.25">
      <c r="B21" s="34"/>
      <c r="C21" s="4" t="s">
        <v>3</v>
      </c>
      <c r="D21" s="12">
        <f>L21*J22</f>
        <v>0.18403182523896211</v>
      </c>
      <c r="E21" s="12">
        <f>L21*K22</f>
        <v>0.14781672709956795</v>
      </c>
      <c r="F21" s="13">
        <f>SUM(D21:E21)</f>
        <v>0.33184855233853006</v>
      </c>
      <c r="H21" s="34"/>
      <c r="I21" s="4" t="s">
        <v>3</v>
      </c>
      <c r="J21" s="12">
        <f xml:space="preserve"> D12 / $F$13</f>
        <v>8.2405345211581285E-2</v>
      </c>
      <c r="K21" s="12">
        <f xml:space="preserve"> E12 / $F$13</f>
        <v>0.24944320712694878</v>
      </c>
      <c r="L21" s="13">
        <f>SUM(J21:K21)</f>
        <v>0.33184855233853006</v>
      </c>
      <c r="N21" s="22" t="s">
        <v>16</v>
      </c>
      <c r="O21" s="20"/>
      <c r="P21" s="17"/>
      <c r="Q21" s="22" t="s">
        <v>20</v>
      </c>
    </row>
    <row r="22" spans="2:17" x14ac:dyDescent="0.25">
      <c r="B22" s="34"/>
      <c r="C22" s="4" t="s">
        <v>7</v>
      </c>
      <c r="D22" s="13">
        <f>SUM(D20:D21)</f>
        <v>0.55456570155902007</v>
      </c>
      <c r="E22" s="13">
        <f>SUM(E20:E21)</f>
        <v>0.44543429844097993</v>
      </c>
      <c r="F22" s="13">
        <f>SUM(D20:E21)</f>
        <v>1</v>
      </c>
      <c r="H22" s="34"/>
      <c r="I22" s="4" t="s">
        <v>7</v>
      </c>
      <c r="J22" s="13">
        <f>SUM(J20:J21)</f>
        <v>0.55456570155902007</v>
      </c>
      <c r="K22" s="13">
        <f>SUM(K20:K21)</f>
        <v>0.44543429844097993</v>
      </c>
      <c r="L22" s="13">
        <f>SUM(J20:K21)</f>
        <v>1</v>
      </c>
      <c r="N22" s="16" t="s">
        <v>7</v>
      </c>
      <c r="O22" s="5" t="s">
        <v>21</v>
      </c>
      <c r="P22" s="6" t="s">
        <v>22</v>
      </c>
      <c r="Q22" s="23">
        <v>1</v>
      </c>
    </row>
    <row r="24" spans="2:17" x14ac:dyDescent="0.25">
      <c r="N24" s="8" t="s">
        <v>24</v>
      </c>
    </row>
    <row r="25" spans="2:17" x14ac:dyDescent="0.25">
      <c r="B25" s="9" t="s">
        <v>26</v>
      </c>
      <c r="C25" s="10"/>
      <c r="D25" s="10"/>
      <c r="E25" s="10"/>
      <c r="F25" s="10"/>
      <c r="H25" s="9" t="s">
        <v>26</v>
      </c>
      <c r="I25" s="10"/>
      <c r="J25" s="10"/>
      <c r="K25" s="10"/>
      <c r="L25" s="10"/>
    </row>
    <row r="26" spans="2:17" x14ac:dyDescent="0.25">
      <c r="J26" s="1"/>
      <c r="K26" s="1"/>
      <c r="L26" s="1"/>
    </row>
    <row r="27" spans="2:17" x14ac:dyDescent="0.25">
      <c r="D27" s="33" t="s">
        <v>8</v>
      </c>
      <c r="E27" s="33"/>
      <c r="F27" s="33"/>
      <c r="J27" s="33" t="s">
        <v>8</v>
      </c>
      <c r="K27" s="33"/>
      <c r="L27" s="33"/>
    </row>
    <row r="28" spans="2:17" x14ac:dyDescent="0.25">
      <c r="D28" s="4" t="s">
        <v>2</v>
      </c>
      <c r="E28" s="4" t="s">
        <v>3</v>
      </c>
      <c r="F28" s="4" t="s">
        <v>7</v>
      </c>
      <c r="J28" s="4" t="s">
        <v>2</v>
      </c>
      <c r="K28" s="4" t="s">
        <v>3</v>
      </c>
      <c r="L28" s="4" t="s">
        <v>7</v>
      </c>
    </row>
    <row r="29" spans="2:17" x14ac:dyDescent="0.25">
      <c r="B29" s="34" t="s">
        <v>6</v>
      </c>
      <c r="C29" s="4" t="s">
        <v>2</v>
      </c>
      <c r="D29" s="26">
        <f>D20*$F$13</f>
        <v>166.36971046770603</v>
      </c>
      <c r="E29" s="26">
        <f>E20*$F$13</f>
        <v>133.63028953229397</v>
      </c>
      <c r="F29" s="4">
        <f>SUM(D29:E29)</f>
        <v>300</v>
      </c>
      <c r="H29" s="34" t="s">
        <v>6</v>
      </c>
      <c r="I29" s="4" t="s">
        <v>2</v>
      </c>
      <c r="J29" s="26">
        <f>$F11*D$13/$F$13</f>
        <v>166.369710467706</v>
      </c>
      <c r="K29" s="26">
        <f>$F11*E$13/$F$13</f>
        <v>133.630289532294</v>
      </c>
      <c r="L29" s="4">
        <f>SUM(J29:K29)</f>
        <v>300</v>
      </c>
    </row>
    <row r="30" spans="2:17" x14ac:dyDescent="0.25">
      <c r="B30" s="34"/>
      <c r="C30" s="4" t="s">
        <v>3</v>
      </c>
      <c r="D30" s="26">
        <f>D21*$F$13</f>
        <v>82.630289532293986</v>
      </c>
      <c r="E30" s="26">
        <f>E21*$F$13</f>
        <v>66.369710467706014</v>
      </c>
      <c r="F30" s="4">
        <f>SUM(D30:E30)</f>
        <v>149</v>
      </c>
      <c r="H30" s="34"/>
      <c r="I30" s="4" t="s">
        <v>3</v>
      </c>
      <c r="J30" s="26">
        <f>$F12*D$13/$F$13</f>
        <v>82.630289532293986</v>
      </c>
      <c r="K30" s="26">
        <f>$F12*E$13/$F$13</f>
        <v>66.369710467706014</v>
      </c>
      <c r="L30" s="4">
        <f>SUM(J30:K30)</f>
        <v>149</v>
      </c>
    </row>
    <row r="31" spans="2:17" x14ac:dyDescent="0.25">
      <c r="B31" s="34"/>
      <c r="C31" s="4" t="s">
        <v>7</v>
      </c>
      <c r="D31" s="4">
        <f>SUM(D29:D30)</f>
        <v>249</v>
      </c>
      <c r="E31" s="4">
        <f>SUM(E29:E30)</f>
        <v>200</v>
      </c>
      <c r="F31" s="4">
        <f>SUM(D29:E30)</f>
        <v>449</v>
      </c>
      <c r="H31" s="34"/>
      <c r="I31" s="4" t="s">
        <v>7</v>
      </c>
      <c r="J31" s="4">
        <f>SUM(J29:J30)</f>
        <v>249</v>
      </c>
      <c r="K31" s="4">
        <f>SUM(K29:K30)</f>
        <v>200</v>
      </c>
      <c r="L31" s="4">
        <f>SUM(J29:K30)</f>
        <v>449</v>
      </c>
    </row>
    <row r="35" spans="2:12" x14ac:dyDescent="0.25">
      <c r="B35" s="9" t="s">
        <v>27</v>
      </c>
      <c r="C35" s="10"/>
      <c r="D35" s="10"/>
      <c r="E35" s="10"/>
      <c r="F35" s="10"/>
    </row>
    <row r="37" spans="2:12" x14ac:dyDescent="0.25">
      <c r="D37" s="33" t="s">
        <v>8</v>
      </c>
      <c r="E37" s="33"/>
      <c r="F37" s="33"/>
    </row>
    <row r="38" spans="2:12" x14ac:dyDescent="0.25">
      <c r="D38" s="4" t="s">
        <v>2</v>
      </c>
      <c r="E38" s="4" t="s">
        <v>3</v>
      </c>
      <c r="F38" s="4" t="s">
        <v>7</v>
      </c>
    </row>
    <row r="39" spans="2:12" x14ac:dyDescent="0.25">
      <c r="B39" s="34" t="s">
        <v>6</v>
      </c>
      <c r="C39" s="4" t="s">
        <v>2</v>
      </c>
      <c r="D39" s="25">
        <f>(D11 - D29)^2 / D29</f>
        <v>12.515038446286995</v>
      </c>
      <c r="E39" s="25">
        <f>(E11 - E29)^2 / E29</f>
        <v>15.581222865627312</v>
      </c>
      <c r="F39" s="4"/>
    </row>
    <row r="40" spans="2:12" x14ac:dyDescent="0.25">
      <c r="B40" s="34"/>
      <c r="C40" s="4" t="s">
        <v>3</v>
      </c>
      <c r="D40" s="25">
        <f>(D12 - D30)^2 / D30</f>
        <v>25.198063985812762</v>
      </c>
      <c r="E40" s="25">
        <f>(E12 - E30)^2 / E30</f>
        <v>31.371589662336888</v>
      </c>
      <c r="F40" s="4"/>
    </row>
    <row r="41" spans="2:12" x14ac:dyDescent="0.25">
      <c r="B41" s="34"/>
      <c r="C41" s="4" t="s">
        <v>7</v>
      </c>
      <c r="D41" s="4"/>
      <c r="E41" s="4"/>
      <c r="F41" s="4">
        <f>SUM(D39:E40)</f>
        <v>84.665914960063958</v>
      </c>
    </row>
    <row r="44" spans="2:12" x14ac:dyDescent="0.25">
      <c r="B44" s="9" t="s">
        <v>28</v>
      </c>
      <c r="C44" s="10"/>
      <c r="D44" s="10"/>
      <c r="E44" s="10"/>
      <c r="F44" s="10"/>
    </row>
    <row r="46" spans="2:12" x14ac:dyDescent="0.25">
      <c r="B46" s="8" t="s">
        <v>29</v>
      </c>
      <c r="D46" s="1">
        <f>F41</f>
        <v>84.665914960063958</v>
      </c>
    </row>
    <row r="47" spans="2:12" x14ac:dyDescent="0.25">
      <c r="B47" s="8"/>
      <c r="I47" s="7">
        <v>0</v>
      </c>
      <c r="L47" s="3" t="s">
        <v>30</v>
      </c>
    </row>
    <row r="48" spans="2:12" x14ac:dyDescent="0.25">
      <c r="B48" s="8" t="s">
        <v>33</v>
      </c>
      <c r="D48" s="1">
        <v>0.05</v>
      </c>
      <c r="I48" s="1" t="s">
        <v>31</v>
      </c>
      <c r="L48" t="s">
        <v>32</v>
      </c>
    </row>
    <row r="49" spans="2:11" x14ac:dyDescent="0.25">
      <c r="B49" s="8" t="s">
        <v>0</v>
      </c>
      <c r="D49" s="1">
        <v>1</v>
      </c>
      <c r="K49" s="1">
        <f>D46</f>
        <v>84.665914960063958</v>
      </c>
    </row>
    <row r="50" spans="2:11" x14ac:dyDescent="0.25">
      <c r="B50" s="8"/>
    </row>
    <row r="51" spans="2:11" x14ac:dyDescent="0.25">
      <c r="B51" s="8" t="s">
        <v>34</v>
      </c>
      <c r="D51" s="1">
        <f>_xlfn.CHISQ.INV(1-D48, D49)</f>
        <v>3.8414588206941236</v>
      </c>
      <c r="J51" t="s">
        <v>34</v>
      </c>
    </row>
    <row r="52" spans="2:11" x14ac:dyDescent="0.25">
      <c r="B52" s="2" t="s">
        <v>42</v>
      </c>
      <c r="D52">
        <f>CHITEST(D11:E12,D29:E30)</f>
        <v>3.5328868303510862E-20</v>
      </c>
      <c r="J52">
        <f>D51</f>
        <v>3.8414588206941236</v>
      </c>
    </row>
    <row r="53" spans="2:11" x14ac:dyDescent="0.25">
      <c r="B53" s="8"/>
    </row>
    <row r="54" spans="2:11" x14ac:dyDescent="0.25">
      <c r="B54" s="9" t="s">
        <v>35</v>
      </c>
      <c r="C54" s="10"/>
      <c r="D54" s="10"/>
      <c r="E54" s="10"/>
      <c r="F54" s="10"/>
    </row>
    <row r="56" spans="2:11" x14ac:dyDescent="0.25">
      <c r="D56" s="33" t="s">
        <v>8</v>
      </c>
      <c r="E56" s="33"/>
      <c r="F56" s="33"/>
    </row>
    <row r="57" spans="2:11" x14ac:dyDescent="0.25">
      <c r="D57" s="4" t="s">
        <v>2</v>
      </c>
      <c r="E57" s="4" t="s">
        <v>3</v>
      </c>
      <c r="F57" s="4"/>
    </row>
    <row r="58" spans="2:11" x14ac:dyDescent="0.25">
      <c r="B58" s="34" t="s">
        <v>6</v>
      </c>
      <c r="C58" s="4" t="s">
        <v>2</v>
      </c>
      <c r="D58" s="24">
        <f>D11/D29</f>
        <v>1.2742704149933064</v>
      </c>
      <c r="E58" s="1">
        <f>E11/E29</f>
        <v>0.65853333333333341</v>
      </c>
      <c r="F58" s="4"/>
    </row>
    <row r="59" spans="2:11" x14ac:dyDescent="0.25">
      <c r="B59" s="34"/>
      <c r="C59" s="4" t="s">
        <v>3</v>
      </c>
      <c r="D59" s="1">
        <f>D12/D30</f>
        <v>0.44777768793293982</v>
      </c>
      <c r="E59" s="24">
        <f>E12/E30</f>
        <v>1.6875167785234899</v>
      </c>
      <c r="F59" s="4"/>
    </row>
    <row r="60" spans="2:11" x14ac:dyDescent="0.25">
      <c r="B60" s="34"/>
      <c r="C60" s="4"/>
      <c r="D60" s="4"/>
      <c r="E60" s="4"/>
      <c r="F60" s="4"/>
    </row>
  </sheetData>
  <mergeCells count="18">
    <mergeCell ref="D56:F56"/>
    <mergeCell ref="B58:B60"/>
    <mergeCell ref="D27:F27"/>
    <mergeCell ref="B29:B31"/>
    <mergeCell ref="D37:F37"/>
    <mergeCell ref="B39:B41"/>
    <mergeCell ref="J27:L27"/>
    <mergeCell ref="H29:H31"/>
    <mergeCell ref="D9:F9"/>
    <mergeCell ref="B11:B13"/>
    <mergeCell ref="J9:L9"/>
    <mergeCell ref="H11:H13"/>
    <mergeCell ref="J18:L18"/>
    <mergeCell ref="H20:H22"/>
    <mergeCell ref="D18:F18"/>
    <mergeCell ref="B20:B22"/>
    <mergeCell ref="B16:F16"/>
    <mergeCell ref="H16:L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55BFA-D810-40D5-9916-90F3244F3F61}">
  <dimension ref="B2:R38"/>
  <sheetViews>
    <sheetView topLeftCell="A10" zoomScale="110" zoomScaleNormal="110" workbookViewId="0">
      <selection activeCell="B36" sqref="B36"/>
    </sheetView>
  </sheetViews>
  <sheetFormatPr baseColWidth="10" defaultRowHeight="15" x14ac:dyDescent="0.25"/>
  <cols>
    <col min="1" max="1" width="2.7109375" customWidth="1"/>
    <col min="4" max="4" width="13.85546875" bestFit="1" customWidth="1"/>
    <col min="7" max="7" width="2.7109375" customWidth="1"/>
  </cols>
  <sheetData>
    <row r="2" spans="2:18" x14ac:dyDescent="0.25">
      <c r="B2" s="2" t="s">
        <v>36</v>
      </c>
    </row>
    <row r="5" spans="2:18" x14ac:dyDescent="0.25">
      <c r="B5" s="27" t="s">
        <v>37</v>
      </c>
      <c r="C5" s="28"/>
      <c r="D5" s="29"/>
      <c r="E5" s="29"/>
      <c r="F5" s="29"/>
      <c r="H5" s="27" t="s">
        <v>38</v>
      </c>
      <c r="I5" s="28"/>
      <c r="J5" s="29"/>
      <c r="K5" s="29"/>
      <c r="L5" s="29"/>
      <c r="N5" s="27" t="s">
        <v>38</v>
      </c>
      <c r="O5" s="28"/>
      <c r="P5" s="29"/>
      <c r="Q5" s="29"/>
      <c r="R5" s="29"/>
    </row>
    <row r="6" spans="2:18" x14ac:dyDescent="0.25">
      <c r="D6" s="33" t="s">
        <v>39</v>
      </c>
      <c r="E6" s="33"/>
      <c r="F6" s="33"/>
      <c r="J6" s="33" t="s">
        <v>39</v>
      </c>
      <c r="K6" s="33"/>
      <c r="L6" s="33"/>
      <c r="P6" s="33" t="s">
        <v>39</v>
      </c>
      <c r="Q6" s="33"/>
      <c r="R6" s="33"/>
    </row>
    <row r="7" spans="2:18" x14ac:dyDescent="0.25">
      <c r="D7" s="4" t="s">
        <v>2</v>
      </c>
      <c r="E7" s="4" t="s">
        <v>3</v>
      </c>
      <c r="F7" s="4" t="s">
        <v>7</v>
      </c>
      <c r="J7" s="4" t="s">
        <v>2</v>
      </c>
      <c r="K7" s="4" t="s">
        <v>3</v>
      </c>
      <c r="L7" s="4" t="s">
        <v>7</v>
      </c>
      <c r="P7" s="4" t="s">
        <v>2</v>
      </c>
      <c r="Q7" s="4" t="s">
        <v>3</v>
      </c>
      <c r="R7" s="4" t="s">
        <v>7</v>
      </c>
    </row>
    <row r="8" spans="2:18" x14ac:dyDescent="0.25">
      <c r="B8" s="37" t="s">
        <v>6</v>
      </c>
      <c r="C8" s="2" t="s">
        <v>2</v>
      </c>
      <c r="D8" s="1">
        <v>265</v>
      </c>
      <c r="E8" s="1">
        <v>31</v>
      </c>
      <c r="F8" s="4">
        <f>SUM(D8:E8)</f>
        <v>296</v>
      </c>
      <c r="H8" s="37" t="s">
        <v>6</v>
      </c>
      <c r="I8" s="2" t="s">
        <v>2</v>
      </c>
      <c r="J8" s="1">
        <f>D8/$F$10</f>
        <v>0.59954751131221717</v>
      </c>
      <c r="K8" s="1">
        <f>E8/$F$10</f>
        <v>7.0135746606334842E-2</v>
      </c>
      <c r="L8" s="4">
        <f>SUM(J8:K8)</f>
        <v>0.66968325791855199</v>
      </c>
      <c r="N8" s="37" t="s">
        <v>6</v>
      </c>
      <c r="O8" s="2" t="s">
        <v>2</v>
      </c>
      <c r="P8" s="1">
        <f>D8/$F8</f>
        <v>0.89527027027027029</v>
      </c>
      <c r="Q8" s="1">
        <f>E8/$F8</f>
        <v>0.10472972972972973</v>
      </c>
      <c r="R8" s="4">
        <f>SUM(P8:Q8)</f>
        <v>1</v>
      </c>
    </row>
    <row r="9" spans="2:18" x14ac:dyDescent="0.25">
      <c r="B9" s="37"/>
      <c r="C9" s="2" t="s">
        <v>3</v>
      </c>
      <c r="D9" s="1">
        <v>124</v>
      </c>
      <c r="E9" s="1">
        <v>22</v>
      </c>
      <c r="F9" s="4">
        <f>SUM(D9:E9)</f>
        <v>146</v>
      </c>
      <c r="H9" s="37"/>
      <c r="I9" s="2" t="s">
        <v>3</v>
      </c>
      <c r="J9" s="1">
        <f>D9/$F$10</f>
        <v>0.28054298642533937</v>
      </c>
      <c r="K9" s="1">
        <f>E9/$F$10</f>
        <v>4.9773755656108594E-2</v>
      </c>
      <c r="L9" s="4">
        <f>SUM(J9:K9)</f>
        <v>0.33031674208144796</v>
      </c>
      <c r="N9" s="37"/>
      <c r="O9" s="2" t="s">
        <v>3</v>
      </c>
      <c r="P9" s="1">
        <f t="shared" ref="P9:Q10" si="0">D9/$F9</f>
        <v>0.84931506849315064</v>
      </c>
      <c r="Q9" s="1">
        <f t="shared" si="0"/>
        <v>0.15068493150684931</v>
      </c>
      <c r="R9" s="4">
        <f>SUM(P9:Q9)</f>
        <v>1</v>
      </c>
    </row>
    <row r="10" spans="2:18" x14ac:dyDescent="0.25">
      <c r="B10" s="37"/>
      <c r="C10" s="2" t="s">
        <v>7</v>
      </c>
      <c r="D10" s="4">
        <f>SUM(D8:D9)</f>
        <v>389</v>
      </c>
      <c r="E10" s="4">
        <f>SUM(E8:E9)</f>
        <v>53</v>
      </c>
      <c r="F10" s="4">
        <f>SUM(D8:E9)</f>
        <v>442</v>
      </c>
      <c r="H10" s="37"/>
      <c r="I10" s="2" t="s">
        <v>7</v>
      </c>
      <c r="J10" s="4">
        <f>SUM(J8:J9)</f>
        <v>0.88009049773755654</v>
      </c>
      <c r="K10" s="4">
        <f>SUM(K8:K9)</f>
        <v>0.11990950226244343</v>
      </c>
      <c r="L10" s="4">
        <f>SUM(J8:K9)</f>
        <v>1</v>
      </c>
      <c r="N10" s="37"/>
      <c r="O10" s="2" t="s">
        <v>7</v>
      </c>
      <c r="P10" s="1">
        <f t="shared" si="0"/>
        <v>0.88009049773755654</v>
      </c>
      <c r="Q10" s="1">
        <f t="shared" si="0"/>
        <v>0.11990950226244344</v>
      </c>
      <c r="R10" s="4">
        <f>SUM(P8:Q9)</f>
        <v>1.9999999999999998</v>
      </c>
    </row>
    <row r="13" spans="2:18" x14ac:dyDescent="0.25">
      <c r="B13" s="27" t="s">
        <v>40</v>
      </c>
      <c r="C13" s="28"/>
      <c r="D13" s="29"/>
      <c r="E13" s="29"/>
      <c r="F13" s="29"/>
      <c r="H13" s="27" t="s">
        <v>41</v>
      </c>
      <c r="I13" s="28"/>
      <c r="J13" s="29"/>
      <c r="K13" s="29"/>
      <c r="L13" s="29"/>
    </row>
    <row r="14" spans="2:18" x14ac:dyDescent="0.25">
      <c r="D14" s="33" t="s">
        <v>39</v>
      </c>
      <c r="E14" s="33"/>
      <c r="F14" s="33"/>
      <c r="J14" s="33" t="s">
        <v>39</v>
      </c>
      <c r="K14" s="33"/>
      <c r="L14" s="33"/>
    </row>
    <row r="15" spans="2:18" x14ac:dyDescent="0.25">
      <c r="D15" s="4" t="s">
        <v>2</v>
      </c>
      <c r="E15" s="4" t="s">
        <v>3</v>
      </c>
      <c r="F15" s="4" t="s">
        <v>7</v>
      </c>
      <c r="J15" s="4" t="s">
        <v>2</v>
      </c>
      <c r="K15" s="4" t="s">
        <v>3</v>
      </c>
      <c r="L15" s="4" t="s">
        <v>7</v>
      </c>
    </row>
    <row r="16" spans="2:18" x14ac:dyDescent="0.25">
      <c r="B16" s="37" t="s">
        <v>6</v>
      </c>
      <c r="C16" s="2" t="s">
        <v>2</v>
      </c>
      <c r="D16" s="26">
        <f>J16*$F$10</f>
        <v>260.50678733031674</v>
      </c>
      <c r="E16" s="26">
        <f>K16*$F$10</f>
        <v>35.493212669683253</v>
      </c>
      <c r="F16" s="4">
        <f>SUM(D16:E16)</f>
        <v>296</v>
      </c>
      <c r="H16" s="37" t="s">
        <v>6</v>
      </c>
      <c r="I16" s="2" t="s">
        <v>2</v>
      </c>
      <c r="J16" s="1">
        <f>L8*J10</f>
        <v>0.58938187178804691</v>
      </c>
      <c r="K16" s="1">
        <f>L8*K10</f>
        <v>8.0301386130505095E-2</v>
      </c>
      <c r="L16" s="4">
        <f>SUM(J16:K16)</f>
        <v>0.66968325791855199</v>
      </c>
    </row>
    <row r="17" spans="2:12" x14ac:dyDescent="0.25">
      <c r="B17" s="37"/>
      <c r="C17" s="2" t="s">
        <v>3</v>
      </c>
      <c r="D17" s="26">
        <f>J17*$F$10</f>
        <v>128.49321266968326</v>
      </c>
      <c r="E17" s="26">
        <f>K17*$F$10</f>
        <v>17.50678733031674</v>
      </c>
      <c r="F17" s="4">
        <f>SUM(D17:E17)</f>
        <v>146</v>
      </c>
      <c r="H17" s="37"/>
      <c r="I17" s="2" t="s">
        <v>3</v>
      </c>
      <c r="J17" s="1">
        <f>L9*J10</f>
        <v>0.29070862594950964</v>
      </c>
      <c r="K17" s="1">
        <f>L9*K10</f>
        <v>3.9608116131938327E-2</v>
      </c>
      <c r="L17" s="4">
        <f>SUM(J17:K17)</f>
        <v>0.33031674208144796</v>
      </c>
    </row>
    <row r="18" spans="2:12" x14ac:dyDescent="0.25">
      <c r="B18" s="37"/>
      <c r="C18" s="2" t="s">
        <v>7</v>
      </c>
      <c r="D18" s="4">
        <f>SUM(D16:D17)</f>
        <v>389</v>
      </c>
      <c r="E18" s="4">
        <f>SUM(E16:E17)</f>
        <v>52.999999999999993</v>
      </c>
      <c r="F18" s="4">
        <f>SUM(D16:E17)</f>
        <v>442</v>
      </c>
      <c r="H18" s="37"/>
      <c r="I18" s="2" t="s">
        <v>7</v>
      </c>
      <c r="J18" s="4">
        <f>SUM(J16:J17)</f>
        <v>0.88009049773755654</v>
      </c>
      <c r="K18" s="4">
        <f>SUM(K16:K17)</f>
        <v>0.11990950226244343</v>
      </c>
      <c r="L18" s="4">
        <f>SUM(J16:K17)</f>
        <v>1</v>
      </c>
    </row>
    <row r="21" spans="2:12" x14ac:dyDescent="0.25">
      <c r="B21" s="27" t="s">
        <v>27</v>
      </c>
      <c r="C21" s="28"/>
      <c r="D21" s="29"/>
      <c r="E21" s="29"/>
      <c r="F21" s="29"/>
    </row>
    <row r="22" spans="2:12" x14ac:dyDescent="0.25">
      <c r="D22" s="33" t="s">
        <v>39</v>
      </c>
      <c r="E22" s="33"/>
      <c r="F22" s="33"/>
    </row>
    <row r="23" spans="2:12" x14ac:dyDescent="0.25">
      <c r="D23" s="4" t="s">
        <v>2</v>
      </c>
      <c r="E23" s="4" t="s">
        <v>3</v>
      </c>
      <c r="F23" s="4" t="s">
        <v>7</v>
      </c>
    </row>
    <row r="24" spans="2:12" x14ac:dyDescent="0.25">
      <c r="B24" s="37" t="s">
        <v>6</v>
      </c>
      <c r="C24" s="2" t="s">
        <v>2</v>
      </c>
      <c r="D24" s="30">
        <f xml:space="preserve"> (D8 - D16)^2 / D16</f>
        <v>7.7498787274985728E-2</v>
      </c>
      <c r="E24" s="30">
        <f xml:space="preserve"> (E8 - E16)^2 / E16</f>
        <v>0.5688118537730068</v>
      </c>
      <c r="F24" s="4"/>
    </row>
    <row r="25" spans="2:12" x14ac:dyDescent="0.25">
      <c r="B25" s="37"/>
      <c r="C25" s="2" t="s">
        <v>3</v>
      </c>
      <c r="D25" s="30">
        <f xml:space="preserve"> (D9 - D17)^2 / D17</f>
        <v>0.15712082899586149</v>
      </c>
      <c r="E25" s="30">
        <f xml:space="preserve"> (E9 - E17)^2 / E17</f>
        <v>1.1532075939507571</v>
      </c>
      <c r="F25" s="4"/>
    </row>
    <row r="26" spans="2:12" x14ac:dyDescent="0.25">
      <c r="B26" s="37"/>
      <c r="C26" s="2" t="s">
        <v>7</v>
      </c>
      <c r="D26" s="4"/>
      <c r="E26" s="4"/>
      <c r="F26" s="4">
        <f>SUM(D24:E25)</f>
        <v>1.9566390639946112</v>
      </c>
    </row>
    <row r="29" spans="2:12" x14ac:dyDescent="0.25">
      <c r="B29" s="27" t="s">
        <v>28</v>
      </c>
      <c r="C29" s="28"/>
      <c r="D29" s="29"/>
      <c r="E29" s="29"/>
      <c r="F29" s="29"/>
    </row>
    <row r="30" spans="2:12" x14ac:dyDescent="0.25">
      <c r="B30" t="s">
        <v>29</v>
      </c>
      <c r="D30" s="1">
        <f>F26</f>
        <v>1.9566390639946112</v>
      </c>
      <c r="E30" s="1"/>
      <c r="F30" s="1"/>
    </row>
    <row r="31" spans="2:12" x14ac:dyDescent="0.25">
      <c r="D31" s="1"/>
      <c r="E31" s="1"/>
      <c r="F31" s="1"/>
    </row>
    <row r="32" spans="2:12" x14ac:dyDescent="0.25">
      <c r="B32" t="s">
        <v>1</v>
      </c>
      <c r="D32" s="1">
        <v>0.05</v>
      </c>
      <c r="E32" s="1"/>
      <c r="F32" s="1"/>
    </row>
    <row r="33" spans="2:6" x14ac:dyDescent="0.25">
      <c r="B33" t="s">
        <v>0</v>
      </c>
      <c r="D33" s="1">
        <v>1</v>
      </c>
      <c r="E33" s="1"/>
      <c r="F33" s="1"/>
    </row>
    <row r="35" spans="2:6" x14ac:dyDescent="0.25">
      <c r="B35" t="s">
        <v>34</v>
      </c>
      <c r="D35">
        <f>_xlfn.CHISQ.INV(1-D32, D33)</f>
        <v>3.8414588206941236</v>
      </c>
    </row>
    <row r="36" spans="2:6" x14ac:dyDescent="0.25">
      <c r="B36" s="2" t="s">
        <v>42</v>
      </c>
      <c r="C36" s="31"/>
      <c r="D36">
        <f>CHITEST(D8:E9,D16:E17)</f>
        <v>0.16187322107353883</v>
      </c>
    </row>
    <row r="38" spans="2:6" x14ac:dyDescent="0.25">
      <c r="B38" t="s">
        <v>43</v>
      </c>
    </row>
  </sheetData>
  <mergeCells count="12">
    <mergeCell ref="B24:B26"/>
    <mergeCell ref="D6:F6"/>
    <mergeCell ref="J6:L6"/>
    <mergeCell ref="P6:R6"/>
    <mergeCell ref="B8:B10"/>
    <mergeCell ref="H8:H10"/>
    <mergeCell ref="N8:N10"/>
    <mergeCell ref="D14:F14"/>
    <mergeCell ref="J14:L14"/>
    <mergeCell ref="B16:B18"/>
    <mergeCell ref="H16:H18"/>
    <mergeCell ref="D22:F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7A00-F4A0-4D9D-A277-7D215D003035}">
  <dimension ref="B2:L43"/>
  <sheetViews>
    <sheetView topLeftCell="A10" workbookViewId="0">
      <selection activeCell="F41" sqref="F41"/>
    </sheetView>
  </sheetViews>
  <sheetFormatPr baseColWidth="10" defaultRowHeight="15" x14ac:dyDescent="0.25"/>
  <cols>
    <col min="4" max="4" width="13.85546875" bestFit="1" customWidth="1"/>
    <col min="7" max="7" width="2.7109375" customWidth="1"/>
  </cols>
  <sheetData>
    <row r="2" spans="2:12" x14ac:dyDescent="0.25">
      <c r="B2" s="2" t="s">
        <v>44</v>
      </c>
    </row>
    <row r="5" spans="2:12" x14ac:dyDescent="0.25">
      <c r="B5" s="27" t="s">
        <v>37</v>
      </c>
      <c r="C5" s="28"/>
      <c r="D5" s="29"/>
      <c r="E5" s="29"/>
      <c r="F5" s="29"/>
      <c r="H5" s="27" t="s">
        <v>38</v>
      </c>
      <c r="I5" s="28"/>
      <c r="J5" s="29"/>
      <c r="K5" s="29"/>
      <c r="L5" s="29"/>
    </row>
    <row r="6" spans="2:12" x14ac:dyDescent="0.25">
      <c r="D6" s="33" t="s">
        <v>45</v>
      </c>
      <c r="E6" s="33"/>
      <c r="F6" s="33"/>
      <c r="J6" s="33" t="s">
        <v>45</v>
      </c>
      <c r="K6" s="33"/>
      <c r="L6" s="33"/>
    </row>
    <row r="7" spans="2:12" x14ac:dyDescent="0.25">
      <c r="D7" s="4" t="s">
        <v>2</v>
      </c>
      <c r="E7" s="4" t="s">
        <v>3</v>
      </c>
      <c r="F7" s="4" t="s">
        <v>7</v>
      </c>
      <c r="J7" s="4" t="s">
        <v>2</v>
      </c>
      <c r="K7" s="4" t="s">
        <v>3</v>
      </c>
      <c r="L7" s="4" t="s">
        <v>7</v>
      </c>
    </row>
    <row r="8" spans="2:12" x14ac:dyDescent="0.25">
      <c r="B8" s="37" t="s">
        <v>6</v>
      </c>
      <c r="C8" s="2" t="s">
        <v>2</v>
      </c>
      <c r="D8" s="1">
        <v>205</v>
      </c>
      <c r="E8" s="1">
        <v>95</v>
      </c>
      <c r="F8" s="4">
        <f>SUM(D8:E8)</f>
        <v>300</v>
      </c>
      <c r="H8" s="37" t="s">
        <v>6</v>
      </c>
      <c r="I8" s="2" t="s">
        <v>2</v>
      </c>
      <c r="J8" s="1">
        <f>D8/$F$10</f>
        <v>0.45657015590200445</v>
      </c>
      <c r="K8" s="1">
        <f>E8/$F$10</f>
        <v>0.21158129175946547</v>
      </c>
      <c r="L8" s="4">
        <f>SUM(J8:K8)</f>
        <v>0.66815144766146994</v>
      </c>
    </row>
    <row r="9" spans="2:12" x14ac:dyDescent="0.25">
      <c r="B9" s="37"/>
      <c r="C9" s="2" t="s">
        <v>3</v>
      </c>
      <c r="D9" s="1">
        <v>85</v>
      </c>
      <c r="E9" s="1">
        <v>64</v>
      </c>
      <c r="F9" s="4">
        <f>SUM(D9:E9)</f>
        <v>149</v>
      </c>
      <c r="H9" s="37"/>
      <c r="I9" s="2" t="s">
        <v>3</v>
      </c>
      <c r="J9" s="1">
        <f>D9/$F$10</f>
        <v>0.18930957683741648</v>
      </c>
      <c r="K9" s="1">
        <f>E9/$F$10</f>
        <v>0.14253897550111358</v>
      </c>
      <c r="L9" s="4">
        <f>SUM(J9:K9)</f>
        <v>0.33184855233853006</v>
      </c>
    </row>
    <row r="10" spans="2:12" x14ac:dyDescent="0.25">
      <c r="B10" s="37"/>
      <c r="C10" s="2" t="s">
        <v>7</v>
      </c>
      <c r="D10" s="4">
        <f>SUM(D8:D9)</f>
        <v>290</v>
      </c>
      <c r="E10" s="4">
        <f>SUM(E8:E9)</f>
        <v>159</v>
      </c>
      <c r="F10" s="4">
        <f>SUM(D8:E9)</f>
        <v>449</v>
      </c>
      <c r="H10" s="37"/>
      <c r="I10" s="2" t="s">
        <v>7</v>
      </c>
      <c r="J10" s="4">
        <f>SUM(J8:J9)</f>
        <v>0.6458797327394209</v>
      </c>
      <c r="K10" s="4">
        <f>SUM(K8:K9)</f>
        <v>0.35412026726057905</v>
      </c>
      <c r="L10" s="4">
        <f>SUM(J8:K9)</f>
        <v>1</v>
      </c>
    </row>
    <row r="13" spans="2:12" x14ac:dyDescent="0.25">
      <c r="B13" s="27" t="s">
        <v>40</v>
      </c>
      <c r="C13" s="28"/>
      <c r="D13" s="29"/>
      <c r="E13" s="29"/>
      <c r="F13" s="29"/>
      <c r="H13" s="27" t="s">
        <v>41</v>
      </c>
      <c r="I13" s="28"/>
      <c r="J13" s="29"/>
      <c r="K13" s="29"/>
      <c r="L13" s="29"/>
    </row>
    <row r="14" spans="2:12" x14ac:dyDescent="0.25">
      <c r="D14" s="33" t="s">
        <v>45</v>
      </c>
      <c r="E14" s="33"/>
      <c r="F14" s="33"/>
      <c r="J14" s="33" t="s">
        <v>45</v>
      </c>
      <c r="K14" s="33"/>
      <c r="L14" s="33"/>
    </row>
    <row r="15" spans="2:12" x14ac:dyDescent="0.25">
      <c r="D15" s="4" t="s">
        <v>2</v>
      </c>
      <c r="E15" s="4" t="s">
        <v>3</v>
      </c>
      <c r="F15" s="4" t="s">
        <v>7</v>
      </c>
      <c r="J15" s="4" t="s">
        <v>2</v>
      </c>
      <c r="K15" s="4" t="s">
        <v>3</v>
      </c>
      <c r="L15" s="4" t="s">
        <v>7</v>
      </c>
    </row>
    <row r="16" spans="2:12" x14ac:dyDescent="0.25">
      <c r="B16" s="37" t="s">
        <v>6</v>
      </c>
      <c r="C16" s="2" t="s">
        <v>2</v>
      </c>
      <c r="D16" s="26">
        <f>J16*$F$10</f>
        <v>193.76391982182628</v>
      </c>
      <c r="E16" s="26">
        <f>K16*$F$10</f>
        <v>106.23608017817371</v>
      </c>
      <c r="F16" s="4">
        <f>SUM(D16:E16)</f>
        <v>300</v>
      </c>
      <c r="H16" s="37" t="s">
        <v>6</v>
      </c>
      <c r="I16" s="2" t="s">
        <v>2</v>
      </c>
      <c r="J16" s="1">
        <f>L8*J10</f>
        <v>0.43154547844504737</v>
      </c>
      <c r="K16" s="1">
        <f>L8*K10</f>
        <v>0.23660596921642252</v>
      </c>
      <c r="L16" s="4">
        <f>SUM(J16:K16)</f>
        <v>0.66815144766146983</v>
      </c>
    </row>
    <row r="17" spans="2:12" x14ac:dyDescent="0.25">
      <c r="B17" s="37"/>
      <c r="C17" s="2" t="s">
        <v>3</v>
      </c>
      <c r="D17" s="26">
        <f>J17*$F$10</f>
        <v>96.236080178173708</v>
      </c>
      <c r="E17" s="26">
        <f>K17*$F$10</f>
        <v>52.763919821826278</v>
      </c>
      <c r="F17" s="4">
        <f>SUM(D17:E17)</f>
        <v>149</v>
      </c>
      <c r="H17" s="37"/>
      <c r="I17" s="2" t="s">
        <v>3</v>
      </c>
      <c r="J17" s="1">
        <f>L9*J10</f>
        <v>0.21433425429437353</v>
      </c>
      <c r="K17" s="1">
        <f>L9*K10</f>
        <v>0.11751429804415651</v>
      </c>
      <c r="L17" s="4">
        <f>SUM(J17:K17)</f>
        <v>0.33184855233853006</v>
      </c>
    </row>
    <row r="18" spans="2:12" x14ac:dyDescent="0.25">
      <c r="B18" s="37"/>
      <c r="C18" s="2" t="s">
        <v>7</v>
      </c>
      <c r="D18" s="4">
        <f>SUM(D16:D17)</f>
        <v>290</v>
      </c>
      <c r="E18" s="4">
        <f>SUM(E16:E17)</f>
        <v>159</v>
      </c>
      <c r="F18" s="4">
        <f>SUM(D16:E17)</f>
        <v>449</v>
      </c>
      <c r="H18" s="37"/>
      <c r="I18" s="2" t="s">
        <v>7</v>
      </c>
      <c r="J18" s="4">
        <f>SUM(J16:J17)</f>
        <v>0.6458797327394209</v>
      </c>
      <c r="K18" s="4">
        <f>SUM(K16:K17)</f>
        <v>0.35412026726057905</v>
      </c>
      <c r="L18" s="4">
        <f>SUM(J16:K17)</f>
        <v>0.99999999999999989</v>
      </c>
    </row>
    <row r="21" spans="2:12" x14ac:dyDescent="0.25">
      <c r="B21" s="27" t="s">
        <v>27</v>
      </c>
      <c r="C21" s="28"/>
      <c r="D21" s="29"/>
      <c r="E21" s="29"/>
      <c r="F21" s="29"/>
    </row>
    <row r="22" spans="2:12" x14ac:dyDescent="0.25">
      <c r="D22" s="33" t="s">
        <v>45</v>
      </c>
      <c r="E22" s="33"/>
      <c r="F22" s="33"/>
    </row>
    <row r="23" spans="2:12" x14ac:dyDescent="0.25">
      <c r="D23" s="4" t="s">
        <v>2</v>
      </c>
      <c r="E23" s="4" t="s">
        <v>3</v>
      </c>
      <c r="F23" s="4" t="s">
        <v>7</v>
      </c>
    </row>
    <row r="24" spans="2:12" x14ac:dyDescent="0.25">
      <c r="B24" s="37" t="s">
        <v>6</v>
      </c>
      <c r="C24" s="2" t="s">
        <v>2</v>
      </c>
      <c r="D24" s="30">
        <f xml:space="preserve"> (D8 - D16)^2 / D16</f>
        <v>0.65156349998720053</v>
      </c>
      <c r="E24" s="30">
        <f xml:space="preserve"> (E8 - E16)^2 / E16</f>
        <v>1.1883862578382873</v>
      </c>
      <c r="F24" s="4"/>
    </row>
    <row r="25" spans="2:12" x14ac:dyDescent="0.25">
      <c r="B25" s="37"/>
      <c r="C25" s="2" t="s">
        <v>3</v>
      </c>
      <c r="D25" s="30">
        <f xml:space="preserve"> (D9 - D17)^2 / D17</f>
        <v>1.3118728187661723</v>
      </c>
      <c r="E25" s="30">
        <f xml:space="preserve"> (E9 - E17)^2 / E17</f>
        <v>2.392724009070383</v>
      </c>
      <c r="F25" s="4"/>
    </row>
    <row r="26" spans="2:12" x14ac:dyDescent="0.25">
      <c r="B26" s="37"/>
      <c r="C26" s="2" t="s">
        <v>7</v>
      </c>
      <c r="D26" s="4"/>
      <c r="E26" s="4"/>
      <c r="F26" s="4">
        <f>SUM(D24:E25)</f>
        <v>5.5445465856620437</v>
      </c>
    </row>
    <row r="29" spans="2:12" x14ac:dyDescent="0.25">
      <c r="B29" s="27" t="s">
        <v>28</v>
      </c>
      <c r="C29" s="28"/>
      <c r="D29" s="29"/>
      <c r="E29" s="29"/>
      <c r="F29" s="29"/>
    </row>
    <row r="30" spans="2:12" x14ac:dyDescent="0.25">
      <c r="B30" t="s">
        <v>29</v>
      </c>
      <c r="D30" s="1">
        <f>F26</f>
        <v>5.5445465856620437</v>
      </c>
      <c r="E30" s="1"/>
      <c r="F30" s="1"/>
    </row>
    <row r="31" spans="2:12" x14ac:dyDescent="0.25">
      <c r="D31" s="1"/>
      <c r="E31" s="1"/>
      <c r="F31" s="1"/>
    </row>
    <row r="32" spans="2:12" x14ac:dyDescent="0.25">
      <c r="B32" t="s">
        <v>1</v>
      </c>
      <c r="D32" s="1">
        <v>0.05</v>
      </c>
      <c r="E32" s="1"/>
      <c r="F32" s="1"/>
    </row>
    <row r="33" spans="2:6" x14ac:dyDescent="0.25">
      <c r="B33" t="s">
        <v>0</v>
      </c>
      <c r="D33" s="1">
        <v>1</v>
      </c>
      <c r="E33" s="1"/>
      <c r="F33" s="1"/>
    </row>
    <row r="35" spans="2:6" x14ac:dyDescent="0.25">
      <c r="B35" t="s">
        <v>34</v>
      </c>
      <c r="D35">
        <f>_xlfn.CHISQ.INV(1-D32, D33)</f>
        <v>3.8414588206941236</v>
      </c>
    </row>
    <row r="36" spans="2:6" x14ac:dyDescent="0.25">
      <c r="B36" s="2" t="s">
        <v>42</v>
      </c>
      <c r="D36">
        <f>CHITEST(D8:E9,D16:E17)</f>
        <v>1.8538358811421064E-2</v>
      </c>
    </row>
    <row r="38" spans="2:6" x14ac:dyDescent="0.25">
      <c r="B38" s="27" t="s">
        <v>35</v>
      </c>
      <c r="C38" s="28"/>
      <c r="D38" s="29"/>
      <c r="E38" s="29"/>
      <c r="F38" s="29"/>
    </row>
    <row r="39" spans="2:6" x14ac:dyDescent="0.25">
      <c r="D39" s="33" t="s">
        <v>45</v>
      </c>
      <c r="E39" s="33"/>
      <c r="F39" s="33"/>
    </row>
    <row r="40" spans="2:6" x14ac:dyDescent="0.25">
      <c r="D40" s="4" t="s">
        <v>2</v>
      </c>
      <c r="E40" s="4" t="s">
        <v>3</v>
      </c>
      <c r="F40" s="4"/>
    </row>
    <row r="41" spans="2:6" x14ac:dyDescent="0.25">
      <c r="B41" s="37" t="s">
        <v>6</v>
      </c>
      <c r="C41" s="2" t="s">
        <v>2</v>
      </c>
      <c r="D41" s="25">
        <f>D8 / D16</f>
        <v>1.0579885057471266</v>
      </c>
      <c r="E41" s="25">
        <f>E8 / E16</f>
        <v>0.89423480083857454</v>
      </c>
      <c r="F41" s="4"/>
    </row>
    <row r="42" spans="2:6" x14ac:dyDescent="0.25">
      <c r="B42" s="37"/>
      <c r="C42" s="2" t="s">
        <v>3</v>
      </c>
      <c r="D42" s="25">
        <f>D9 / D17</f>
        <v>0.88324461930108777</v>
      </c>
      <c r="E42" s="25">
        <f>E9 / E17</f>
        <v>1.2129500654256891</v>
      </c>
      <c r="F42" s="4"/>
    </row>
    <row r="43" spans="2:6" x14ac:dyDescent="0.25">
      <c r="B43" s="37"/>
      <c r="C43" s="2"/>
      <c r="D43" s="4"/>
      <c r="E43" s="4"/>
      <c r="F43" s="4"/>
    </row>
  </sheetData>
  <mergeCells count="12">
    <mergeCell ref="B41:B43"/>
    <mergeCell ref="D6:F6"/>
    <mergeCell ref="J6:L6"/>
    <mergeCell ref="B8:B10"/>
    <mergeCell ref="H8:H10"/>
    <mergeCell ref="D14:F14"/>
    <mergeCell ref="J14:L14"/>
    <mergeCell ref="B16:B18"/>
    <mergeCell ref="H16:H18"/>
    <mergeCell ref="D22:F22"/>
    <mergeCell ref="B24:B26"/>
    <mergeCell ref="D39:F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B3B0-0986-40FE-B0FA-CBA85803DB8E}">
  <dimension ref="B2:N43"/>
  <sheetViews>
    <sheetView tabSelected="1" topLeftCell="A10" workbookViewId="0">
      <selection activeCell="I40" sqref="I40"/>
    </sheetView>
  </sheetViews>
  <sheetFormatPr baseColWidth="10" defaultRowHeight="15" x14ac:dyDescent="0.25"/>
  <cols>
    <col min="1" max="1" width="4" customWidth="1"/>
    <col min="3" max="3" width="7.5703125" customWidth="1"/>
    <col min="4" max="6" width="9.140625" customWidth="1"/>
    <col min="7" max="7" width="9" customWidth="1"/>
    <col min="8" max="8" width="2.7109375" customWidth="1"/>
  </cols>
  <sheetData>
    <row r="2" spans="2:14" x14ac:dyDescent="0.25">
      <c r="B2" s="2" t="s">
        <v>46</v>
      </c>
    </row>
    <row r="3" spans="2:14" x14ac:dyDescent="0.25">
      <c r="B3" s="2"/>
    </row>
    <row r="4" spans="2:14" x14ac:dyDescent="0.25">
      <c r="B4" s="2"/>
    </row>
    <row r="5" spans="2:14" x14ac:dyDescent="0.25">
      <c r="B5" s="38" t="s">
        <v>37</v>
      </c>
      <c r="C5" s="38"/>
      <c r="D5" s="38"/>
      <c r="E5" s="38"/>
      <c r="F5" s="38"/>
      <c r="G5" s="38"/>
      <c r="I5" s="38" t="s">
        <v>47</v>
      </c>
      <c r="J5" s="38"/>
      <c r="K5" s="38"/>
      <c r="L5" s="38"/>
      <c r="M5" s="38"/>
      <c r="N5" s="38"/>
    </row>
    <row r="6" spans="2:14" x14ac:dyDescent="0.25">
      <c r="D6" s="33" t="s">
        <v>48</v>
      </c>
      <c r="E6" s="33"/>
      <c r="F6" s="33"/>
      <c r="K6" s="33" t="s">
        <v>48</v>
      </c>
      <c r="L6" s="33"/>
      <c r="M6" s="33"/>
    </row>
    <row r="7" spans="2:14" x14ac:dyDescent="0.25">
      <c r="D7" s="4" t="s">
        <v>5</v>
      </c>
      <c r="E7" s="4" t="s">
        <v>4</v>
      </c>
      <c r="F7" s="4" t="s">
        <v>2</v>
      </c>
      <c r="G7" s="4" t="s">
        <v>7</v>
      </c>
      <c r="K7" s="4" t="s">
        <v>5</v>
      </c>
      <c r="L7" s="4" t="s">
        <v>4</v>
      </c>
      <c r="M7" s="4" t="s">
        <v>2</v>
      </c>
      <c r="N7" s="4" t="s">
        <v>7</v>
      </c>
    </row>
    <row r="8" spans="2:14" x14ac:dyDescent="0.25">
      <c r="B8" s="37" t="s">
        <v>6</v>
      </c>
      <c r="C8" s="2" t="s">
        <v>2</v>
      </c>
      <c r="D8" s="1">
        <v>44</v>
      </c>
      <c r="E8" s="1">
        <v>75</v>
      </c>
      <c r="F8" s="1">
        <v>181</v>
      </c>
      <c r="G8" s="4">
        <f>SUM(D8:F8)</f>
        <v>300</v>
      </c>
      <c r="I8" s="37" t="s">
        <v>6</v>
      </c>
      <c r="J8" s="2" t="s">
        <v>2</v>
      </c>
      <c r="K8" s="1">
        <f>D8/$G$10</f>
        <v>9.7995545657015584E-2</v>
      </c>
      <c r="L8" s="1">
        <f t="shared" ref="L8:M9" si="0">E8/$G$10</f>
        <v>0.16703786191536749</v>
      </c>
      <c r="M8" s="1">
        <f t="shared" si="0"/>
        <v>0.40311804008908686</v>
      </c>
      <c r="N8" s="4">
        <f>SUM(K8:M8)</f>
        <v>0.66815144766146994</v>
      </c>
    </row>
    <row r="9" spans="2:14" x14ac:dyDescent="0.25">
      <c r="B9" s="37"/>
      <c r="C9" s="2" t="s">
        <v>3</v>
      </c>
      <c r="D9" s="1">
        <v>55</v>
      </c>
      <c r="E9" s="1">
        <v>60</v>
      </c>
      <c r="F9" s="1">
        <v>34</v>
      </c>
      <c r="G9" s="4">
        <f>SUM(D9:F9)</f>
        <v>149</v>
      </c>
      <c r="I9" s="37"/>
      <c r="J9" s="2" t="s">
        <v>3</v>
      </c>
      <c r="K9" s="1">
        <f>D9/$G$10</f>
        <v>0.12249443207126949</v>
      </c>
      <c r="L9" s="1">
        <f t="shared" si="0"/>
        <v>0.133630289532294</v>
      </c>
      <c r="M9" s="1">
        <f t="shared" si="0"/>
        <v>7.5723830734966593E-2</v>
      </c>
      <c r="N9" s="4">
        <f>SUM(K9:M9)</f>
        <v>0.33184855233853006</v>
      </c>
    </row>
    <row r="10" spans="2:14" x14ac:dyDescent="0.25">
      <c r="B10" s="37"/>
      <c r="C10" s="2" t="s">
        <v>7</v>
      </c>
      <c r="D10" s="4">
        <f>SUM(D8:D9)</f>
        <v>99</v>
      </c>
      <c r="E10" s="4">
        <f>SUM(E8:E9)</f>
        <v>135</v>
      </c>
      <c r="F10" s="4">
        <f>SUM(F8:F9)</f>
        <v>215</v>
      </c>
      <c r="G10" s="4">
        <f>SUM(D8:F9)</f>
        <v>449</v>
      </c>
      <c r="I10" s="37"/>
      <c r="J10" s="2" t="s">
        <v>7</v>
      </c>
      <c r="K10" s="4">
        <f>SUM(K8:K9)</f>
        <v>0.22048997772828507</v>
      </c>
      <c r="L10" s="4">
        <f>SUM(L8:L9)</f>
        <v>0.30066815144766146</v>
      </c>
      <c r="M10" s="4">
        <f>SUM(M8:M9)</f>
        <v>0.47884187082405344</v>
      </c>
      <c r="N10" s="4">
        <f>SUM(K8:M9)</f>
        <v>1</v>
      </c>
    </row>
    <row r="11" spans="2:14" x14ac:dyDescent="0.25">
      <c r="D11" s="1"/>
      <c r="E11" s="1"/>
      <c r="F11" s="1"/>
      <c r="G11" s="1"/>
    </row>
    <row r="13" spans="2:14" x14ac:dyDescent="0.25">
      <c r="B13" s="38" t="s">
        <v>40</v>
      </c>
      <c r="C13" s="38"/>
      <c r="D13" s="38"/>
      <c r="E13" s="38"/>
      <c r="F13" s="38"/>
      <c r="G13" s="38"/>
      <c r="I13" s="38" t="s">
        <v>49</v>
      </c>
      <c r="J13" s="38"/>
      <c r="K13" s="38"/>
      <c r="L13" s="38"/>
      <c r="M13" s="38"/>
      <c r="N13" s="38"/>
    </row>
    <row r="14" spans="2:14" x14ac:dyDescent="0.25">
      <c r="D14" s="33" t="s">
        <v>48</v>
      </c>
      <c r="E14" s="33"/>
      <c r="F14" s="33"/>
      <c r="K14" s="33" t="s">
        <v>48</v>
      </c>
      <c r="L14" s="33"/>
      <c r="M14" s="33"/>
    </row>
    <row r="15" spans="2:14" x14ac:dyDescent="0.25">
      <c r="D15" s="4" t="s">
        <v>5</v>
      </c>
      <c r="E15" s="4" t="s">
        <v>4</v>
      </c>
      <c r="F15" s="4" t="s">
        <v>2</v>
      </c>
      <c r="G15" s="4" t="s">
        <v>7</v>
      </c>
      <c r="K15" s="4" t="s">
        <v>5</v>
      </c>
      <c r="L15" s="4" t="s">
        <v>4</v>
      </c>
      <c r="M15" s="4" t="s">
        <v>2</v>
      </c>
      <c r="N15" s="4" t="s">
        <v>7</v>
      </c>
    </row>
    <row r="16" spans="2:14" x14ac:dyDescent="0.25">
      <c r="B16" s="37" t="s">
        <v>6</v>
      </c>
      <c r="C16" s="2" t="s">
        <v>2</v>
      </c>
      <c r="D16" s="26">
        <f>K16*$G$10</f>
        <v>66.146993318485528</v>
      </c>
      <c r="E16" s="26">
        <f t="shared" ref="E16:F17" si="1">L16*$G$10</f>
        <v>90.20044543429843</v>
      </c>
      <c r="F16" s="26">
        <f t="shared" si="1"/>
        <v>143.65256124721603</v>
      </c>
      <c r="G16" s="4">
        <f>SUM(D16:F16)</f>
        <v>300</v>
      </c>
      <c r="I16" s="37" t="s">
        <v>6</v>
      </c>
      <c r="J16" s="2" t="s">
        <v>2</v>
      </c>
      <c r="K16" s="1">
        <f>$N8*K$10</f>
        <v>0.14732069781399895</v>
      </c>
      <c r="L16" s="1">
        <f t="shared" ref="L16:M17" si="2">$N8*L$10</f>
        <v>0.20089186065545309</v>
      </c>
      <c r="M16" s="1">
        <f t="shared" si="2"/>
        <v>0.31993888919201791</v>
      </c>
      <c r="N16" s="4">
        <f>SUM(K16:M16)</f>
        <v>0.66815144766146994</v>
      </c>
    </row>
    <row r="17" spans="2:14" x14ac:dyDescent="0.25">
      <c r="B17" s="37"/>
      <c r="C17" s="2" t="s">
        <v>3</v>
      </c>
      <c r="D17" s="26">
        <f>K17*$G$10</f>
        <v>32.853006681514472</v>
      </c>
      <c r="E17" s="26">
        <f t="shared" si="1"/>
        <v>44.799554565701555</v>
      </c>
      <c r="F17" s="26">
        <f t="shared" si="1"/>
        <v>71.347438752783958</v>
      </c>
      <c r="G17" s="4">
        <f>SUM(D17:F17)</f>
        <v>149</v>
      </c>
      <c r="I17" s="37"/>
      <c r="J17" s="2" t="s">
        <v>3</v>
      </c>
      <c r="K17" s="1">
        <f>$N9*K$10</f>
        <v>7.3169279914286137E-2</v>
      </c>
      <c r="L17" s="1">
        <f t="shared" si="2"/>
        <v>9.9776290792208358E-2</v>
      </c>
      <c r="M17" s="1">
        <f t="shared" si="2"/>
        <v>0.15890298163203553</v>
      </c>
      <c r="N17" s="4">
        <f>SUM(K17:M17)</f>
        <v>0.33184855233853006</v>
      </c>
    </row>
    <row r="18" spans="2:14" x14ac:dyDescent="0.25">
      <c r="B18" s="37"/>
      <c r="C18" s="2" t="s">
        <v>7</v>
      </c>
      <c r="D18" s="4">
        <f>SUM(D16:D17)</f>
        <v>99</v>
      </c>
      <c r="E18" s="4">
        <f>SUM(E16:E17)</f>
        <v>135</v>
      </c>
      <c r="F18" s="4">
        <f>SUM(F16:F17)</f>
        <v>215</v>
      </c>
      <c r="G18" s="4">
        <f>SUM(D16:F17)</f>
        <v>448.99999999999994</v>
      </c>
      <c r="I18" s="37"/>
      <c r="J18" s="2" t="s">
        <v>7</v>
      </c>
      <c r="K18" s="4">
        <f>SUM(K16:K17)</f>
        <v>0.2204899777282851</v>
      </c>
      <c r="L18" s="4">
        <f>SUM(L16:L17)</f>
        <v>0.30066815144766146</v>
      </c>
      <c r="M18" s="4">
        <f>SUM(M16:M17)</f>
        <v>0.47884187082405344</v>
      </c>
      <c r="N18" s="4">
        <f>SUM(K16:M17)</f>
        <v>1</v>
      </c>
    </row>
    <row r="21" spans="2:14" x14ac:dyDescent="0.25">
      <c r="B21" s="38" t="s">
        <v>29</v>
      </c>
      <c r="C21" s="38"/>
      <c r="D21" s="38"/>
      <c r="E21" s="38"/>
      <c r="F21" s="38"/>
      <c r="G21" s="38"/>
    </row>
    <row r="22" spans="2:14" x14ac:dyDescent="0.25">
      <c r="D22" s="33" t="s">
        <v>48</v>
      </c>
      <c r="E22" s="33"/>
      <c r="F22" s="33"/>
    </row>
    <row r="23" spans="2:14" x14ac:dyDescent="0.25">
      <c r="D23" s="4" t="s">
        <v>5</v>
      </c>
      <c r="E23" s="4" t="s">
        <v>4</v>
      </c>
      <c r="F23" s="4" t="s">
        <v>2</v>
      </c>
      <c r="G23" s="4" t="s">
        <v>7</v>
      </c>
    </row>
    <row r="24" spans="2:14" x14ac:dyDescent="0.25">
      <c r="B24" s="37" t="s">
        <v>6</v>
      </c>
      <c r="C24" s="2" t="s">
        <v>2</v>
      </c>
      <c r="D24" s="26">
        <f>(D8-D16)^2 / D16</f>
        <v>7.4151414666336741</v>
      </c>
      <c r="E24" s="26">
        <f t="shared" ref="E24:F25" si="3">(E8-E16)^2 / E16</f>
        <v>2.561556545409549</v>
      </c>
      <c r="F24" s="26">
        <f t="shared" si="3"/>
        <v>9.7097550456656521</v>
      </c>
      <c r="G24" s="4">
        <f>SUM(D24:F24)</f>
        <v>19.686453057708874</v>
      </c>
    </row>
    <row r="25" spans="2:14" x14ac:dyDescent="0.25">
      <c r="B25" s="37"/>
      <c r="C25" s="2" t="s">
        <v>3</v>
      </c>
      <c r="D25" s="26">
        <f>(D9-D17)^2 / D17</f>
        <v>14.929815033490621</v>
      </c>
      <c r="E25" s="26">
        <f t="shared" si="3"/>
        <v>5.1574964001534633</v>
      </c>
      <c r="F25" s="26">
        <f t="shared" si="3"/>
        <v>19.549842373823449</v>
      </c>
      <c r="G25" s="4">
        <f>SUM(D25:F25)</f>
        <v>39.637153807467534</v>
      </c>
    </row>
    <row r="26" spans="2:14" x14ac:dyDescent="0.25">
      <c r="B26" s="37"/>
      <c r="C26" s="2" t="s">
        <v>7</v>
      </c>
      <c r="D26" s="4">
        <f>SUM(D24:D25)</f>
        <v>22.344956500124297</v>
      </c>
      <c r="E26" s="4">
        <f>SUM(E24:E25)</f>
        <v>7.7190529455630124</v>
      </c>
      <c r="F26" s="4">
        <f>SUM(F24:F25)</f>
        <v>29.259597419489101</v>
      </c>
      <c r="G26" s="4">
        <f>SUM(D24:F25)</f>
        <v>59.323606865176401</v>
      </c>
    </row>
    <row r="29" spans="2:14" x14ac:dyDescent="0.25">
      <c r="B29" s="38" t="s">
        <v>28</v>
      </c>
      <c r="C29" s="38"/>
      <c r="D29" s="38"/>
      <c r="E29" s="38"/>
      <c r="F29" s="38"/>
      <c r="G29" s="38"/>
    </row>
    <row r="30" spans="2:14" x14ac:dyDescent="0.25">
      <c r="B30" s="2" t="s">
        <v>29</v>
      </c>
      <c r="D30" s="1">
        <f>G26</f>
        <v>59.323606865176401</v>
      </c>
    </row>
    <row r="31" spans="2:14" x14ac:dyDescent="0.25">
      <c r="B31" s="2"/>
      <c r="D31" s="1"/>
    </row>
    <row r="32" spans="2:14" x14ac:dyDescent="0.25">
      <c r="B32" s="2" t="s">
        <v>1</v>
      </c>
      <c r="D32" s="1">
        <v>0.05</v>
      </c>
    </row>
    <row r="33" spans="2:7" x14ac:dyDescent="0.25">
      <c r="B33" s="2" t="s">
        <v>0</v>
      </c>
      <c r="D33" s="1">
        <v>2</v>
      </c>
    </row>
    <row r="34" spans="2:7" x14ac:dyDescent="0.25">
      <c r="B34" s="2"/>
    </row>
    <row r="35" spans="2:7" x14ac:dyDescent="0.25">
      <c r="B35" s="2" t="s">
        <v>34</v>
      </c>
      <c r="D35">
        <f>_xlfn.CHISQ.INV(1-D32, D33)</f>
        <v>5.9914645471079799</v>
      </c>
    </row>
    <row r="36" spans="2:7" x14ac:dyDescent="0.25">
      <c r="B36" s="2" t="s">
        <v>42</v>
      </c>
      <c r="D36">
        <f>CHITEST(D8:F9,D16:F17)</f>
        <v>1.3123281536175663E-13</v>
      </c>
    </row>
    <row r="38" spans="2:7" x14ac:dyDescent="0.25">
      <c r="B38" s="38" t="s">
        <v>35</v>
      </c>
      <c r="C38" s="38"/>
      <c r="D38" s="38"/>
      <c r="E38" s="38"/>
      <c r="F38" s="38"/>
      <c r="G38" s="38"/>
    </row>
    <row r="39" spans="2:7" x14ac:dyDescent="0.25">
      <c r="D39" s="33" t="s">
        <v>48</v>
      </c>
      <c r="E39" s="33"/>
      <c r="F39" s="33"/>
    </row>
    <row r="40" spans="2:7" x14ac:dyDescent="0.25">
      <c r="D40" s="4" t="s">
        <v>5</v>
      </c>
      <c r="E40" s="4" t="s">
        <v>4</v>
      </c>
      <c r="F40" s="4" t="s">
        <v>2</v>
      </c>
      <c r="G40" s="4"/>
    </row>
    <row r="41" spans="2:7" x14ac:dyDescent="0.25">
      <c r="B41" s="37" t="s">
        <v>6</v>
      </c>
      <c r="C41" s="2" t="s">
        <v>2</v>
      </c>
      <c r="D41" s="25">
        <f>D8/D16</f>
        <v>0.6651851851851851</v>
      </c>
      <c r="E41" s="25">
        <f t="shared" ref="E41:F42" si="4">E8/E16</f>
        <v>0.8314814814814816</v>
      </c>
      <c r="F41" s="32">
        <f t="shared" si="4"/>
        <v>1.2599844961240312</v>
      </c>
      <c r="G41" s="4"/>
    </row>
    <row r="42" spans="2:7" x14ac:dyDescent="0.25">
      <c r="B42" s="37"/>
      <c r="C42" s="2" t="s">
        <v>3</v>
      </c>
      <c r="D42" s="32">
        <f>D9/D17</f>
        <v>1.6741237882177482</v>
      </c>
      <c r="E42" s="32">
        <f t="shared" si="4"/>
        <v>1.3392990305741985</v>
      </c>
      <c r="F42" s="25">
        <f t="shared" si="4"/>
        <v>0.47654128297174969</v>
      </c>
      <c r="G42" s="4"/>
    </row>
    <row r="43" spans="2:7" x14ac:dyDescent="0.25">
      <c r="B43" s="37"/>
      <c r="C43" s="2"/>
      <c r="D43" s="4"/>
      <c r="E43" s="4"/>
      <c r="F43" s="4"/>
      <c r="G43" s="4"/>
    </row>
  </sheetData>
  <mergeCells count="19">
    <mergeCell ref="B5:G5"/>
    <mergeCell ref="I5:N5"/>
    <mergeCell ref="D6:F6"/>
    <mergeCell ref="K6:M6"/>
    <mergeCell ref="B8:B10"/>
    <mergeCell ref="I8:I10"/>
    <mergeCell ref="B13:G13"/>
    <mergeCell ref="I13:N13"/>
    <mergeCell ref="D14:F14"/>
    <mergeCell ref="K14:M14"/>
    <mergeCell ref="B16:B18"/>
    <mergeCell ref="I16:I18"/>
    <mergeCell ref="B41:B43"/>
    <mergeCell ref="B21:G21"/>
    <mergeCell ref="D22:F22"/>
    <mergeCell ref="B24:B26"/>
    <mergeCell ref="B29:G29"/>
    <mergeCell ref="B38:G38"/>
    <mergeCell ref="D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Infarct contraception</vt:lpstr>
      <vt:lpstr>Infarct antécédant</vt:lpstr>
      <vt:lpstr>Infarct hypertension</vt:lpstr>
      <vt:lpstr>Infarct Tabac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bernard</dc:creator>
  <cp:lastModifiedBy>pascal bernard</cp:lastModifiedBy>
  <dcterms:created xsi:type="dcterms:W3CDTF">2024-09-17T20:13:56Z</dcterms:created>
  <dcterms:modified xsi:type="dcterms:W3CDTF">2026-01-26T14:41:22Z</dcterms:modified>
</cp:coreProperties>
</file>